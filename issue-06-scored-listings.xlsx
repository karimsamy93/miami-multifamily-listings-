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ored Listing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1" hidden="1">'Scored Listings'!$A$1:$S$1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_);($#,##0)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sz val="10"/>
    </font>
    <font>
      <name val="Calibri"/>
      <b val="1"/>
      <color rgb="FF1F4E79"/>
      <sz val="10"/>
    </font>
    <font>
      <name val="Calibri"/>
      <i val="1"/>
      <color rgb="FF666666"/>
      <sz val="9"/>
    </font>
    <font>
      <name val="Calibri"/>
      <b val="1"/>
      <color rgb="FFFFFFFF"/>
      <sz val="10"/>
    </font>
    <font>
      <name val="Calibri"/>
      <color rgb="FF0000FF"/>
      <sz val="10"/>
      <u val="single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sz val="10"/>
    </font>
    <font>
      <name val="Calibri"/>
      <color rgb="FFCC0000"/>
      <sz val="10"/>
    </font>
  </fonts>
  <fills count="5">
    <fill>
      <patternFill/>
    </fill>
    <fill>
      <patternFill patternType="gray125"/>
    </fill>
    <fill>
      <patternFill patternType="solid">
        <fgColor rgb="FF04443C"/>
      </patternFill>
    </fill>
    <fill>
      <patternFill patternType="solid">
        <fgColor rgb="FFFFFF99"/>
      </patternFill>
    </fill>
    <fill>
      <patternFill patternType="solid">
        <fgColor rgb="FFF0F9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3" fillId="3" borderId="1" applyAlignment="1" pivotButton="0" quotePrefix="0" xfId="0">
      <alignment horizontal="center"/>
    </xf>
    <xf numFmtId="9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" t="inlineStr">
        <is>
          <t>MMM Scoring — Assumptions</t>
        </is>
      </c>
    </row>
    <row r="2">
      <c r="A2" s="2" t="inlineStr">
        <is>
          <t>30yr Fixed Rate (%)</t>
        </is>
      </c>
      <c r="B2" s="3" t="n">
        <v>0.0747</v>
      </c>
    </row>
    <row r="3">
      <c r="A3" s="2" t="inlineStr">
        <is>
          <t>Down Payment (%)</t>
        </is>
      </c>
      <c r="B3" s="4" t="n">
        <v>0.25</v>
      </c>
    </row>
    <row r="4">
      <c r="A4" s="2" t="inlineStr">
        <is>
          <t>Expense Ratio (%)</t>
        </is>
      </c>
      <c r="B4" s="4" t="n">
        <v>0.35</v>
      </c>
    </row>
    <row r="5"/>
    <row r="6">
      <c r="A6" s="5" t="inlineStr">
        <is>
          <t>Blue cells = inputs you can change. All scores recalculate automatically.</t>
        </is>
      </c>
    </row>
  </sheetData>
  <mergeCells count="2">
    <mergeCell ref="A6:B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7" customWidth="1" min="3" max="3"/>
    <col width="14" customWidth="1" min="4" max="4"/>
    <col width="12" customWidth="1" min="5" max="5"/>
    <col width="7" customWidth="1" min="6" max="6"/>
    <col width="13" customWidth="1" min="7" max="7"/>
    <col width="16" customWidth="1" min="8" max="8"/>
    <col width="10" customWidth="1" min="9" max="9"/>
    <col width="11" customWidth="1" min="10" max="10"/>
    <col width="22" customWidth="1" min="11" max="11"/>
    <col width="20" customWidth="1" min="12" max="12"/>
    <col width="9" customWidth="1" min="13" max="13"/>
    <col width="9" customWidth="1" min="14" max="14"/>
    <col width="13" customWidth="1" min="15" max="15"/>
    <col width="12" customWidth="1" min="16" max="16"/>
    <col width="12" customWidth="1" min="17" max="17"/>
    <col width="9" customWidth="1" min="18" max="18"/>
    <col width="20" customWidth="1" min="19" max="19"/>
  </cols>
  <sheetData>
    <row r="1" ht="36" customHeight="1">
      <c r="A1" s="6" t="inlineStr">
        <is>
          <t>Listing Link</t>
        </is>
      </c>
      <c r="B1" s="6" t="inlineStr">
        <is>
          <t>Address</t>
        </is>
      </c>
      <c r="C1" s="6" t="inlineStr">
        <is>
          <t>Zip</t>
        </is>
      </c>
      <c r="D1" s="6" t="inlineStr">
        <is>
          <t>County</t>
        </is>
      </c>
      <c r="E1" s="6" t="inlineStr">
        <is>
          <t>Type</t>
        </is>
      </c>
      <c r="F1" s="6" t="inlineStr">
        <is>
          <t>Units</t>
        </is>
      </c>
      <c r="G1" s="6" t="inlineStr">
        <is>
          <t>Price ($)</t>
        </is>
      </c>
      <c r="H1" s="6" t="inlineStr">
        <is>
          <t>Est. Rent ($/mo)</t>
        </is>
      </c>
      <c r="I1" s="6" t="inlineStr">
        <is>
          <t>1% Ratio</t>
        </is>
      </c>
      <c r="J1" s="6" t="inlineStr">
        <is>
          <t>NOI ($/mo)</t>
        </is>
      </c>
      <c r="K1" s="6" t="inlineStr">
        <is>
          <t>Monthly Mortgage ($/mo)</t>
        </is>
      </c>
      <c r="L1" s="6" t="inlineStr">
        <is>
          <t>Net Cash Flow ($/mo)</t>
        </is>
      </c>
      <c r="M1" s="6" t="inlineStr">
        <is>
          <t>1% Score</t>
        </is>
      </c>
      <c r="N1" s="6" t="inlineStr">
        <is>
          <t>CF Score</t>
        </is>
      </c>
      <c r="O1" s="6" t="inlineStr">
        <is>
          <t>Location Score</t>
        </is>
      </c>
      <c r="P1" s="6" t="inlineStr">
        <is>
          <t>Total Score</t>
        </is>
      </c>
      <c r="Q1" s="6" t="inlineStr">
        <is>
          <t>MLS ID</t>
        </is>
      </c>
      <c r="R1" s="6" t="inlineStr">
        <is>
          <t>STR Flag</t>
        </is>
      </c>
      <c r="S1" s="6" t="inlineStr">
        <is>
          <t>Previously Featured?</t>
        </is>
      </c>
    </row>
    <row r="2">
      <c r="A2" s="7">
        <f>HYPERLINK("https://www.google.com/search?q=A11965762+Miami+MLS+listing", "A11965762")</f>
        <v/>
      </c>
      <c r="B2" s="8" t="inlineStr">
        <is>
          <t>2425 NW 28th St</t>
        </is>
      </c>
      <c r="C2" s="8" t="inlineStr">
        <is>
          <t>33142</t>
        </is>
      </c>
      <c r="D2" s="8" t="inlineStr">
        <is>
          <t>Miami-Dade County</t>
        </is>
      </c>
      <c r="E2" s="8" t="inlineStr">
        <is>
          <t>Triplex</t>
        </is>
      </c>
      <c r="F2" s="9" t="n">
        <v>3</v>
      </c>
      <c r="G2" s="10" t="n">
        <v>614000</v>
      </c>
      <c r="H2" s="10" t="n">
        <v>6900</v>
      </c>
      <c r="I2" s="11">
        <f>H2/G2</f>
        <v/>
      </c>
      <c r="J2" s="10">
        <f>H2*(1-Assumptions!$B$4)</f>
        <v/>
      </c>
      <c r="K2" s="12">
        <f>PMT(Assumptions!$B$2/12, 360, -G2*(1-Assumptions!$B$3))</f>
        <v/>
      </c>
      <c r="L2" s="12">
        <f>J2+K2</f>
        <v/>
      </c>
      <c r="M2" s="13">
        <f>IF(I2&gt;=0.01,50,IF(I2&gt;=0.0095,37,IF(I2&gt;=0.009,25,12)))</f>
        <v/>
      </c>
      <c r="N2" s="13">
        <f>IF(L2&gt;=2000,30,IF(L2&gt;=1000,20,IF(L2&gt;=500,10,5)))</f>
        <v/>
      </c>
      <c r="O2" s="13" t="n">
        <v>20</v>
      </c>
      <c r="P2" s="14">
        <f>M2+N2+O2</f>
        <v/>
      </c>
      <c r="Q2" s="8" t="inlineStr">
        <is>
          <t>A11965762</t>
        </is>
      </c>
      <c r="R2" s="8" t="inlineStr"/>
      <c r="S2" s="8" t="inlineStr"/>
    </row>
    <row r="3">
      <c r="A3" s="7">
        <f>HYPERLINK("https://www.google.com/search?q=A11960470+Miami+MLS+listing", "A11960470")</f>
        <v/>
      </c>
      <c r="B3" s="8" t="inlineStr">
        <is>
          <t>6241 NW Miami Pl</t>
        </is>
      </c>
      <c r="C3" s="8" t="inlineStr">
        <is>
          <t>33150</t>
        </is>
      </c>
      <c r="D3" s="8" t="inlineStr">
        <is>
          <t>Miami-Dade County</t>
        </is>
      </c>
      <c r="E3" s="8" t="inlineStr">
        <is>
          <t>Duplex</t>
        </is>
      </c>
      <c r="F3" s="9" t="n">
        <v>2</v>
      </c>
      <c r="G3" s="10" t="n">
        <v>899000</v>
      </c>
      <c r="H3" s="10" t="n">
        <v>9800</v>
      </c>
      <c r="I3" s="11">
        <f>H3/G3</f>
        <v/>
      </c>
      <c r="J3" s="10">
        <f>H3*(1-Assumptions!$B$4)</f>
        <v/>
      </c>
      <c r="K3" s="12">
        <f>PMT(Assumptions!$B$2/12, 360, -G3*(1-Assumptions!$B$3))</f>
        <v/>
      </c>
      <c r="L3" s="12">
        <f>J3+K3</f>
        <v/>
      </c>
      <c r="M3" s="13">
        <f>IF(I3&gt;=0.01,50,IF(I3&gt;=0.0095,37,IF(I3&gt;=0.009,25,12)))</f>
        <v/>
      </c>
      <c r="N3" s="13">
        <f>IF(L3&gt;=2000,30,IF(L3&gt;=1000,20,IF(L3&gt;=500,10,5)))</f>
        <v/>
      </c>
      <c r="O3" s="13" t="n">
        <v>20</v>
      </c>
      <c r="P3" s="14">
        <f>M3+N3+O3</f>
        <v/>
      </c>
      <c r="Q3" s="8" t="inlineStr">
        <is>
          <t>A11960470</t>
        </is>
      </c>
      <c r="R3" s="8" t="inlineStr"/>
      <c r="S3" s="8" t="inlineStr"/>
    </row>
    <row r="4">
      <c r="A4" s="7">
        <f>HYPERLINK("https://www.google.com/search?q=A11969029+Miami+MLS+listing", "A11969029")</f>
        <v/>
      </c>
      <c r="B4" s="8" t="inlineStr">
        <is>
          <t>356 SW 2nd Pl</t>
        </is>
      </c>
      <c r="C4" s="8" t="inlineStr">
        <is>
          <t>33060</t>
        </is>
      </c>
      <c r="D4" s="8" t="inlineStr">
        <is>
          <t>Broward County</t>
        </is>
      </c>
      <c r="E4" s="8" t="inlineStr">
        <is>
          <t>Fourplex</t>
        </is>
      </c>
      <c r="F4" s="9" t="n">
        <v>4</v>
      </c>
      <c r="G4" s="10" t="n">
        <v>750000</v>
      </c>
      <c r="H4" s="10" t="n">
        <v>7650</v>
      </c>
      <c r="I4" s="11">
        <f>H4/G4</f>
        <v/>
      </c>
      <c r="J4" s="10">
        <f>H4*(1-Assumptions!$B$4)</f>
        <v/>
      </c>
      <c r="K4" s="12">
        <f>PMT(Assumptions!$B$2/12, 360, -G4*(1-Assumptions!$B$3))</f>
        <v/>
      </c>
      <c r="L4" s="12">
        <f>J4+K4</f>
        <v/>
      </c>
      <c r="M4" s="13">
        <f>IF(I4&gt;=0.01,50,IF(I4&gt;=0.0095,37,IF(I4&gt;=0.009,25,12)))</f>
        <v/>
      </c>
      <c r="N4" s="13">
        <f>IF(L4&gt;=2000,30,IF(L4&gt;=1000,20,IF(L4&gt;=500,10,5)))</f>
        <v/>
      </c>
      <c r="O4" s="13" t="n">
        <v>13</v>
      </c>
      <c r="P4" s="14">
        <f>M4+N4+O4</f>
        <v/>
      </c>
      <c r="Q4" s="8" t="inlineStr">
        <is>
          <t>A11969029</t>
        </is>
      </c>
      <c r="R4" s="8" t="inlineStr"/>
      <c r="S4" s="8" t="inlineStr"/>
    </row>
    <row r="5">
      <c r="A5" s="15">
        <f>HYPERLINK("https://www.google.com/search?q=A11919736+Miami+MLS+listing", "A11919736")</f>
        <v/>
      </c>
      <c r="B5" s="16" t="inlineStr">
        <is>
          <t>2601 N 66th Ave</t>
        </is>
      </c>
      <c r="C5" s="16" t="inlineStr">
        <is>
          <t>33024</t>
        </is>
      </c>
      <c r="D5" s="16" t="inlineStr">
        <is>
          <t>Broward County</t>
        </is>
      </c>
      <c r="E5" s="16" t="inlineStr">
        <is>
          <t>Fourplex</t>
        </is>
      </c>
      <c r="F5" s="17" t="n">
        <v>4</v>
      </c>
      <c r="G5" s="18" t="n">
        <v>615000</v>
      </c>
      <c r="H5" s="18" t="n">
        <v>7500</v>
      </c>
      <c r="I5" s="19">
        <f>H5/G5</f>
        <v/>
      </c>
      <c r="J5" s="18">
        <f>H5*(1-Assumptions!$B$4)</f>
        <v/>
      </c>
      <c r="K5" s="20">
        <f>PMT(Assumptions!$B$2/12, 360, -G5*(1-Assumptions!$B$3))</f>
        <v/>
      </c>
      <c r="L5" s="20">
        <f>J5+K5</f>
        <v/>
      </c>
      <c r="M5" s="21">
        <f>IF(I5&gt;=0.01,50,IF(I5&gt;=0.0095,37,IF(I5&gt;=0.009,25,12)))</f>
        <v/>
      </c>
      <c r="N5" s="21">
        <f>IF(L5&gt;=2000,30,IF(L5&gt;=1000,20,IF(L5&gt;=500,10,5)))</f>
        <v/>
      </c>
      <c r="O5" s="21" t="n">
        <v>13</v>
      </c>
      <c r="P5" s="22">
        <f>M5+N5+O5</f>
        <v/>
      </c>
      <c r="Q5" s="16" t="inlineStr">
        <is>
          <t>A11919736</t>
        </is>
      </c>
      <c r="R5" s="16" t="inlineStr"/>
      <c r="S5" s="16" t="inlineStr"/>
    </row>
    <row r="6">
      <c r="A6" s="15">
        <f>HYPERLINK("https://www.google.com/search?q=A11744047+Miami+MLS+listing", "A11744047")</f>
        <v/>
      </c>
      <c r="B6" s="16" t="inlineStr">
        <is>
          <t>655 NE 135th St</t>
        </is>
      </c>
      <c r="C6" s="16" t="inlineStr">
        <is>
          <t>33161</t>
        </is>
      </c>
      <c r="D6" s="16" t="inlineStr">
        <is>
          <t>Miami-Dade County</t>
        </is>
      </c>
      <c r="E6" s="16" t="inlineStr">
        <is>
          <t>Duplex</t>
        </is>
      </c>
      <c r="F6" s="17" t="n">
        <v>2</v>
      </c>
      <c r="G6" s="18" t="n">
        <v>660000</v>
      </c>
      <c r="H6" s="18" t="n">
        <v>6700</v>
      </c>
      <c r="I6" s="19">
        <f>H6/G6</f>
        <v/>
      </c>
      <c r="J6" s="18">
        <f>H6*(1-Assumptions!$B$4)</f>
        <v/>
      </c>
      <c r="K6" s="20">
        <f>PMT(Assumptions!$B$2/12, 360, -G6*(1-Assumptions!$B$3))</f>
        <v/>
      </c>
      <c r="L6" s="20">
        <f>J6+K6</f>
        <v/>
      </c>
      <c r="M6" s="21">
        <f>IF(I6&gt;=0.01,50,IF(I6&gt;=0.0095,37,IF(I6&gt;=0.009,25,12)))</f>
        <v/>
      </c>
      <c r="N6" s="21">
        <f>IF(L6&gt;=2000,30,IF(L6&gt;=1000,20,IF(L6&gt;=500,10,5)))</f>
        <v/>
      </c>
      <c r="O6" s="21" t="n">
        <v>20</v>
      </c>
      <c r="P6" s="22">
        <f>M6+N6+O6</f>
        <v/>
      </c>
      <c r="Q6" s="16" t="inlineStr">
        <is>
          <t>A11744047</t>
        </is>
      </c>
      <c r="R6" s="16" t="inlineStr"/>
      <c r="S6" s="16" t="inlineStr"/>
    </row>
    <row r="7">
      <c r="A7" s="15">
        <f>HYPERLINK("https://www.google.com/search?q=A11922821+Miami+MLS+listing", "A11922821")</f>
        <v/>
      </c>
      <c r="B7" s="16" t="inlineStr">
        <is>
          <t>2912 NW 32nd St</t>
        </is>
      </c>
      <c r="C7" s="16" t="inlineStr">
        <is>
          <t>33142</t>
        </is>
      </c>
      <c r="D7" s="16" t="inlineStr">
        <is>
          <t>Miami-Dade County</t>
        </is>
      </c>
      <c r="E7" s="16" t="inlineStr">
        <is>
          <t>Duplex</t>
        </is>
      </c>
      <c r="F7" s="17" t="n">
        <v>2</v>
      </c>
      <c r="G7" s="18" t="n">
        <v>500000</v>
      </c>
      <c r="H7" s="18" t="n">
        <v>5000</v>
      </c>
      <c r="I7" s="19">
        <f>H7/G7</f>
        <v/>
      </c>
      <c r="J7" s="18">
        <f>H7*(1-Assumptions!$B$4)</f>
        <v/>
      </c>
      <c r="K7" s="20">
        <f>PMT(Assumptions!$B$2/12, 360, -G7*(1-Assumptions!$B$3))</f>
        <v/>
      </c>
      <c r="L7" s="20">
        <f>J7+K7</f>
        <v/>
      </c>
      <c r="M7" s="21">
        <f>IF(I7&gt;=0.01,50,IF(I7&gt;=0.0095,37,IF(I7&gt;=0.009,25,12)))</f>
        <v/>
      </c>
      <c r="N7" s="21">
        <f>IF(L7&gt;=2000,30,IF(L7&gt;=1000,20,IF(L7&gt;=500,10,5)))</f>
        <v/>
      </c>
      <c r="O7" s="21" t="n">
        <v>20</v>
      </c>
      <c r="P7" s="22">
        <f>M7+N7+O7</f>
        <v/>
      </c>
      <c r="Q7" s="16" t="inlineStr">
        <is>
          <t>A11922821</t>
        </is>
      </c>
      <c r="R7" s="16" t="inlineStr"/>
      <c r="S7" s="16" t="inlineStr"/>
    </row>
    <row r="8">
      <c r="A8" s="15">
        <f>HYPERLINK("https://www.google.com/search?q=A11901546+Miami+MLS+listing", "A11901546")</f>
        <v/>
      </c>
      <c r="B8" s="16" t="inlineStr">
        <is>
          <t>2930 NW 14th Ave</t>
        </is>
      </c>
      <c r="C8" s="16" t="inlineStr">
        <is>
          <t>33142</t>
        </is>
      </c>
      <c r="D8" s="16" t="inlineStr">
        <is>
          <t>Miami-Dade County</t>
        </is>
      </c>
      <c r="E8" s="16" t="inlineStr">
        <is>
          <t>Fourplex</t>
        </is>
      </c>
      <c r="F8" s="17" t="n">
        <v>4</v>
      </c>
      <c r="G8" s="18" t="n">
        <v>689500</v>
      </c>
      <c r="H8" s="18" t="n">
        <v>6940</v>
      </c>
      <c r="I8" s="19">
        <f>H8/G8</f>
        <v/>
      </c>
      <c r="J8" s="18">
        <f>H8*(1-Assumptions!$B$4)</f>
        <v/>
      </c>
      <c r="K8" s="20">
        <f>PMT(Assumptions!$B$2/12, 360, -G8*(1-Assumptions!$B$3))</f>
        <v/>
      </c>
      <c r="L8" s="20">
        <f>J8+K8</f>
        <v/>
      </c>
      <c r="M8" s="21">
        <f>IF(I8&gt;=0.01,50,IF(I8&gt;=0.0095,37,IF(I8&gt;=0.009,25,12)))</f>
        <v/>
      </c>
      <c r="N8" s="21">
        <f>IF(L8&gt;=2000,30,IF(L8&gt;=1000,20,IF(L8&gt;=500,10,5)))</f>
        <v/>
      </c>
      <c r="O8" s="21" t="n">
        <v>20</v>
      </c>
      <c r="P8" s="22">
        <f>M8+N8+O8</f>
        <v/>
      </c>
      <c r="Q8" s="16" t="inlineStr">
        <is>
          <t>A11901546</t>
        </is>
      </c>
      <c r="R8" s="16" t="inlineStr"/>
      <c r="S8" s="16" t="inlineStr"/>
    </row>
    <row r="9">
      <c r="A9" s="15">
        <f>HYPERLINK("https://www.google.com/search?q=A11839261+Miami+MLS+listing", "A11839261")</f>
        <v/>
      </c>
      <c r="B9" s="16" t="inlineStr">
        <is>
          <t>2240 Simms St</t>
        </is>
      </c>
      <c r="C9" s="16" t="inlineStr">
        <is>
          <t>33020</t>
        </is>
      </c>
      <c r="D9" s="16" t="inlineStr">
        <is>
          <t>Broward County</t>
        </is>
      </c>
      <c r="E9" s="16" t="inlineStr">
        <is>
          <t>Fourplex</t>
        </is>
      </c>
      <c r="F9" s="17" t="n">
        <v>4</v>
      </c>
      <c r="G9" s="18" t="n">
        <v>845000</v>
      </c>
      <c r="H9" s="18" t="n">
        <v>8396</v>
      </c>
      <c r="I9" s="19">
        <f>H9/G9</f>
        <v/>
      </c>
      <c r="J9" s="18">
        <f>H9*(1-Assumptions!$B$4)</f>
        <v/>
      </c>
      <c r="K9" s="20">
        <f>PMT(Assumptions!$B$2/12, 360, -G9*(1-Assumptions!$B$3))</f>
        <v/>
      </c>
      <c r="L9" s="20">
        <f>J9+K9</f>
        <v/>
      </c>
      <c r="M9" s="21">
        <f>IF(I9&gt;=0.01,50,IF(I9&gt;=0.0095,37,IF(I9&gt;=0.009,25,12)))</f>
        <v/>
      </c>
      <c r="N9" s="21">
        <f>IF(L9&gt;=2000,30,IF(L9&gt;=1000,20,IF(L9&gt;=500,10,5)))</f>
        <v/>
      </c>
      <c r="O9" s="21" t="n">
        <v>13</v>
      </c>
      <c r="P9" s="22">
        <f>M9+N9+O9</f>
        <v/>
      </c>
      <c r="Q9" s="16" t="inlineStr">
        <is>
          <t>A11839261</t>
        </is>
      </c>
      <c r="R9" s="16" t="inlineStr"/>
      <c r="S9" s="16" t="inlineStr"/>
    </row>
    <row r="10">
      <c r="A10" s="15">
        <f>HYPERLINK("https://www.google.com/search?q=A11967277+Miami+MLS+listing", "A11967277")</f>
        <v/>
      </c>
      <c r="B10" s="16" t="inlineStr">
        <is>
          <t>4381 Purdy Ln</t>
        </is>
      </c>
      <c r="C10" s="16" t="inlineStr">
        <is>
          <t>33406</t>
        </is>
      </c>
      <c r="D10" s="16" t="inlineStr">
        <is>
          <t>Palm Beach County</t>
        </is>
      </c>
      <c r="E10" s="16" t="inlineStr">
        <is>
          <t>Triplex</t>
        </is>
      </c>
      <c r="F10" s="17" t="n">
        <v>3</v>
      </c>
      <c r="G10" s="18" t="n">
        <v>750000</v>
      </c>
      <c r="H10" s="18" t="n">
        <v>7250</v>
      </c>
      <c r="I10" s="19">
        <f>H10/G10</f>
        <v/>
      </c>
      <c r="J10" s="18">
        <f>H10*(1-Assumptions!$B$4)</f>
        <v/>
      </c>
      <c r="K10" s="20">
        <f>PMT(Assumptions!$B$2/12, 360, -G10*(1-Assumptions!$B$3))</f>
        <v/>
      </c>
      <c r="L10" s="20">
        <f>J10+K10</f>
        <v/>
      </c>
      <c r="M10" s="21">
        <f>IF(I10&gt;=0.01,50,IF(I10&gt;=0.0095,37,IF(I10&gt;=0.009,25,12)))</f>
        <v/>
      </c>
      <c r="N10" s="21">
        <f>IF(L10&gt;=2000,30,IF(L10&gt;=1000,20,IF(L10&gt;=500,10,5)))</f>
        <v/>
      </c>
      <c r="O10" s="21" t="n">
        <v>13</v>
      </c>
      <c r="P10" s="22">
        <f>M10+N10+O10</f>
        <v/>
      </c>
      <c r="Q10" s="16" t="inlineStr">
        <is>
          <t>A11967277</t>
        </is>
      </c>
      <c r="R10" s="16" t="inlineStr"/>
      <c r="S10" s="16" t="inlineStr"/>
    </row>
    <row r="11">
      <c r="A11" s="15">
        <f>HYPERLINK("https://www.google.com/search?q=A11969394+Miami+MLS+listing", "A11969394")</f>
        <v/>
      </c>
      <c r="B11" s="16" t="inlineStr">
        <is>
          <t>208 SW 1st Ct</t>
        </is>
      </c>
      <c r="C11" s="16" t="inlineStr">
        <is>
          <t>33060</t>
        </is>
      </c>
      <c r="D11" s="16" t="inlineStr">
        <is>
          <t>Broward County</t>
        </is>
      </c>
      <c r="E11" s="16" t="inlineStr">
        <is>
          <t>Triplex</t>
        </is>
      </c>
      <c r="F11" s="17" t="n">
        <v>3</v>
      </c>
      <c r="G11" s="18" t="n">
        <v>700000</v>
      </c>
      <c r="H11" s="18" t="n">
        <v>6800</v>
      </c>
      <c r="I11" s="19">
        <f>H11/G11</f>
        <v/>
      </c>
      <c r="J11" s="18">
        <f>H11*(1-Assumptions!$B$4)</f>
        <v/>
      </c>
      <c r="K11" s="20">
        <f>PMT(Assumptions!$B$2/12, 360, -G11*(1-Assumptions!$B$3))</f>
        <v/>
      </c>
      <c r="L11" s="20">
        <f>J11+K11</f>
        <v/>
      </c>
      <c r="M11" s="21">
        <f>IF(I11&gt;=0.01,50,IF(I11&gt;=0.0095,37,IF(I11&gt;=0.009,25,12)))</f>
        <v/>
      </c>
      <c r="N11" s="21">
        <f>IF(L11&gt;=2000,30,IF(L11&gt;=1000,20,IF(L11&gt;=500,10,5)))</f>
        <v/>
      </c>
      <c r="O11" s="21" t="n">
        <v>13</v>
      </c>
      <c r="P11" s="22">
        <f>M11+N11+O11</f>
        <v/>
      </c>
      <c r="Q11" s="16" t="inlineStr">
        <is>
          <t>A11969394</t>
        </is>
      </c>
      <c r="R11" s="16" t="inlineStr"/>
      <c r="S11" s="16" t="inlineStr"/>
    </row>
    <row r="12">
      <c r="A12" s="15">
        <f>HYPERLINK("https://www.google.com/search?q=A11893787+Miami+MLS+listing", "A11893787")</f>
        <v/>
      </c>
      <c r="B12" s="16" t="inlineStr">
        <is>
          <t>1102 NW 103rd Street</t>
        </is>
      </c>
      <c r="C12" s="16" t="inlineStr">
        <is>
          <t>33150</t>
        </is>
      </c>
      <c r="D12" s="16" t="inlineStr">
        <is>
          <t>Miami-Dade County</t>
        </is>
      </c>
      <c r="E12" s="16" t="inlineStr">
        <is>
          <t>Triplex</t>
        </is>
      </c>
      <c r="F12" s="17" t="n">
        <v>3</v>
      </c>
      <c r="G12" s="18" t="n">
        <v>749000</v>
      </c>
      <c r="H12" s="18" t="n">
        <v>6975</v>
      </c>
      <c r="I12" s="19">
        <f>H12/G12</f>
        <v/>
      </c>
      <c r="J12" s="18">
        <f>H12*(1-Assumptions!$B$4)</f>
        <v/>
      </c>
      <c r="K12" s="20">
        <f>PMT(Assumptions!$B$2/12, 360, -G12*(1-Assumptions!$B$3))</f>
        <v/>
      </c>
      <c r="L12" s="20">
        <f>J12+K12</f>
        <v/>
      </c>
      <c r="M12" s="21">
        <f>IF(I12&gt;=0.01,50,IF(I12&gt;=0.0095,37,IF(I12&gt;=0.009,25,12)))</f>
        <v/>
      </c>
      <c r="N12" s="21">
        <f>IF(L12&gt;=2000,30,IF(L12&gt;=1000,20,IF(L12&gt;=500,10,5)))</f>
        <v/>
      </c>
      <c r="O12" s="21" t="n">
        <v>20</v>
      </c>
      <c r="P12" s="22">
        <f>M12+N12+O12</f>
        <v/>
      </c>
      <c r="Q12" s="16" t="inlineStr">
        <is>
          <t>A11893787</t>
        </is>
      </c>
      <c r="R12" s="16" t="inlineStr"/>
      <c r="S12" s="16" t="inlineStr"/>
    </row>
    <row r="13">
      <c r="A13" s="15">
        <f>HYPERLINK("https://www.google.com/search?q=A11893641+Miami+MLS+listing", "A11893641")</f>
        <v/>
      </c>
      <c r="B13" s="16" t="inlineStr">
        <is>
          <t>10290 SW 174th Ter</t>
        </is>
      </c>
      <c r="C13" s="16" t="inlineStr">
        <is>
          <t>33157</t>
        </is>
      </c>
      <c r="D13" s="16" t="inlineStr">
        <is>
          <t>Miami-Dade County</t>
        </is>
      </c>
      <c r="E13" s="16" t="inlineStr">
        <is>
          <t>Duplex</t>
        </is>
      </c>
      <c r="F13" s="17" t="n">
        <v>2</v>
      </c>
      <c r="G13" s="18" t="n">
        <v>699900</v>
      </c>
      <c r="H13" s="18" t="n">
        <v>6400</v>
      </c>
      <c r="I13" s="19">
        <f>H13/G13</f>
        <v/>
      </c>
      <c r="J13" s="18">
        <f>H13*(1-Assumptions!$B$4)</f>
        <v/>
      </c>
      <c r="K13" s="20">
        <f>PMT(Assumptions!$B$2/12, 360, -G13*(1-Assumptions!$B$3))</f>
        <v/>
      </c>
      <c r="L13" s="20">
        <f>J13+K13</f>
        <v/>
      </c>
      <c r="M13" s="21">
        <f>IF(I13&gt;=0.01,50,IF(I13&gt;=0.0095,37,IF(I13&gt;=0.009,25,12)))</f>
        <v/>
      </c>
      <c r="N13" s="21">
        <f>IF(L13&gt;=2000,30,IF(L13&gt;=1000,20,IF(L13&gt;=500,10,5)))</f>
        <v/>
      </c>
      <c r="O13" s="21" t="n">
        <v>16</v>
      </c>
      <c r="P13" s="22">
        <f>M13+N13+O13</f>
        <v/>
      </c>
      <c r="Q13" s="16" t="inlineStr">
        <is>
          <t>A11893641</t>
        </is>
      </c>
      <c r="R13" s="16" t="inlineStr"/>
      <c r="S13" s="16" t="inlineStr"/>
    </row>
    <row r="14">
      <c r="A14" s="15">
        <f>HYPERLINK("https://www.google.com/search?q=A11889559+Miami+MLS+listing", "A11889559")</f>
        <v/>
      </c>
      <c r="B14" s="16" t="inlineStr">
        <is>
          <t>276 E 12th St</t>
        </is>
      </c>
      <c r="C14" s="16" t="inlineStr">
        <is>
          <t>33010</t>
        </is>
      </c>
      <c r="D14" s="16" t="inlineStr">
        <is>
          <t>Miami-Dade County</t>
        </is>
      </c>
      <c r="E14" s="16" t="inlineStr">
        <is>
          <t>Triplex</t>
        </is>
      </c>
      <c r="F14" s="17" t="n">
        <v>3</v>
      </c>
      <c r="G14" s="18" t="n">
        <v>820000</v>
      </c>
      <c r="H14" s="18" t="n">
        <v>7400</v>
      </c>
      <c r="I14" s="19">
        <f>H14/G14</f>
        <v/>
      </c>
      <c r="J14" s="18">
        <f>H14*(1-Assumptions!$B$4)</f>
        <v/>
      </c>
      <c r="K14" s="20">
        <f>PMT(Assumptions!$B$2/12, 360, -G14*(1-Assumptions!$B$3))</f>
        <v/>
      </c>
      <c r="L14" s="20">
        <f>J14+K14</f>
        <v/>
      </c>
      <c r="M14" s="21">
        <f>IF(I14&gt;=0.01,50,IF(I14&gt;=0.0095,37,IF(I14&gt;=0.009,25,12)))</f>
        <v/>
      </c>
      <c r="N14" s="21">
        <f>IF(L14&gt;=2000,30,IF(L14&gt;=1000,20,IF(L14&gt;=500,10,5)))</f>
        <v/>
      </c>
      <c r="O14" s="21" t="n">
        <v>16</v>
      </c>
      <c r="P14" s="22">
        <f>M14+N14+O14</f>
        <v/>
      </c>
      <c r="Q14" s="16" t="inlineStr">
        <is>
          <t>A11889559</t>
        </is>
      </c>
      <c r="R14" s="16" t="inlineStr"/>
      <c r="S14" s="16" t="inlineStr"/>
    </row>
    <row r="15">
      <c r="A15" s="15">
        <f>HYPERLINK("https://www.google.com/search?q=A11977765+Miami+MLS+listing", "A11977765")</f>
        <v/>
      </c>
      <c r="B15" s="16" t="inlineStr">
        <is>
          <t>3021 NE 7th Ave</t>
        </is>
      </c>
      <c r="C15" s="16" t="inlineStr">
        <is>
          <t>33064</t>
        </is>
      </c>
      <c r="D15" s="16" t="inlineStr">
        <is>
          <t>Broward County</t>
        </is>
      </c>
      <c r="E15" s="16" t="inlineStr">
        <is>
          <t>Fourplex</t>
        </is>
      </c>
      <c r="F15" s="17" t="n">
        <v>4</v>
      </c>
      <c r="G15" s="18" t="n">
        <v>899000</v>
      </c>
      <c r="H15" s="18" t="n">
        <v>8200</v>
      </c>
      <c r="I15" s="19">
        <f>H15/G15</f>
        <v/>
      </c>
      <c r="J15" s="18">
        <f>H15*(1-Assumptions!$B$4)</f>
        <v/>
      </c>
      <c r="K15" s="20">
        <f>PMT(Assumptions!$B$2/12, 360, -G15*(1-Assumptions!$B$3))</f>
        <v/>
      </c>
      <c r="L15" s="20">
        <f>J15+K15</f>
        <v/>
      </c>
      <c r="M15" s="21">
        <f>IF(I15&gt;=0.01,50,IF(I15&gt;=0.0095,37,IF(I15&gt;=0.009,25,12)))</f>
        <v/>
      </c>
      <c r="N15" s="21">
        <f>IF(L15&gt;=2000,30,IF(L15&gt;=1000,20,IF(L15&gt;=500,10,5)))</f>
        <v/>
      </c>
      <c r="O15" s="21" t="n">
        <v>13</v>
      </c>
      <c r="P15" s="22">
        <f>M15+N15+O15</f>
        <v/>
      </c>
      <c r="Q15" s="16" t="inlineStr">
        <is>
          <t>A11977765</t>
        </is>
      </c>
      <c r="R15" s="16" t="inlineStr"/>
      <c r="S15" s="16" t="inlineStr"/>
    </row>
    <row r="16">
      <c r="A16" s="15">
        <f>HYPERLINK("https://www.google.com/search?q=A11943542+Miami+MLS+listing", "A11943542")</f>
        <v/>
      </c>
      <c r="B16" s="16" t="inlineStr">
        <is>
          <t>3270 SW 7th St</t>
        </is>
      </c>
      <c r="C16" s="16" t="inlineStr">
        <is>
          <t>33135</t>
        </is>
      </c>
      <c r="D16" s="16" t="inlineStr">
        <is>
          <t>Miami-Dade County</t>
        </is>
      </c>
      <c r="E16" s="16" t="inlineStr">
        <is>
          <t>Duplex</t>
        </is>
      </c>
      <c r="F16" s="17" t="n">
        <v>2</v>
      </c>
      <c r="G16" s="18" t="n">
        <v>1125000</v>
      </c>
      <c r="H16" s="18" t="n">
        <v>6400</v>
      </c>
      <c r="I16" s="19">
        <f>H16/G16</f>
        <v/>
      </c>
      <c r="J16" s="18">
        <f>H16*(1-Assumptions!$B$4)</f>
        <v/>
      </c>
      <c r="K16" s="20">
        <f>PMT(Assumptions!$B$2/12, 360, -G16*(1-Assumptions!$B$3))</f>
        <v/>
      </c>
      <c r="L16" s="20">
        <f>J16+K16</f>
        <v/>
      </c>
      <c r="M16" s="21">
        <f>IF(I16&gt;=0.01,50,IF(I16&gt;=0.0095,37,IF(I16&gt;=0.009,25,12)))</f>
        <v/>
      </c>
      <c r="N16" s="21">
        <f>IF(L16&gt;=2000,30,IF(L16&gt;=1000,20,IF(L16&gt;=500,10,5)))</f>
        <v/>
      </c>
      <c r="O16" s="21" t="n">
        <v>20</v>
      </c>
      <c r="P16" s="22">
        <f>M16+N16+O16</f>
        <v/>
      </c>
      <c r="Q16" s="16" t="inlineStr">
        <is>
          <t>A11943542</t>
        </is>
      </c>
      <c r="R16" s="16" t="inlineStr"/>
      <c r="S16" s="16" t="inlineStr"/>
    </row>
    <row r="17">
      <c r="A17" s="15">
        <f>HYPERLINK("https://www.google.com/search?q=A11923026+Miami+MLS+listing", "A11923026")</f>
        <v/>
      </c>
      <c r="B17" s="16" t="inlineStr">
        <is>
          <t>2416 NW 79th Ter</t>
        </is>
      </c>
      <c r="C17" s="16" t="inlineStr">
        <is>
          <t>33147</t>
        </is>
      </c>
      <c r="D17" s="16" t="inlineStr">
        <is>
          <t>Miami-Dade County</t>
        </is>
      </c>
      <c r="E17" s="16" t="inlineStr">
        <is>
          <t>Triplex</t>
        </is>
      </c>
      <c r="F17" s="17" t="n">
        <v>3</v>
      </c>
      <c r="G17" s="18" t="n">
        <v>759000</v>
      </c>
      <c r="H17" s="18" t="n">
        <v>6482</v>
      </c>
      <c r="I17" s="19">
        <f>H17/G17</f>
        <v/>
      </c>
      <c r="J17" s="18">
        <f>H17*(1-Assumptions!$B$4)</f>
        <v/>
      </c>
      <c r="K17" s="20">
        <f>PMT(Assumptions!$B$2/12, 360, -G17*(1-Assumptions!$B$3))</f>
        <v/>
      </c>
      <c r="L17" s="20">
        <f>J17+K17</f>
        <v/>
      </c>
      <c r="M17" s="21">
        <f>IF(I17&gt;=0.01,50,IF(I17&gt;=0.0095,37,IF(I17&gt;=0.009,25,12)))</f>
        <v/>
      </c>
      <c r="N17" s="21">
        <f>IF(L17&gt;=2000,30,IF(L17&gt;=1000,20,IF(L17&gt;=500,10,5)))</f>
        <v/>
      </c>
      <c r="O17" s="21" t="n">
        <v>20</v>
      </c>
      <c r="P17" s="22">
        <f>M17+N17+O17</f>
        <v/>
      </c>
      <c r="Q17" s="16" t="inlineStr">
        <is>
          <t>A11923026</t>
        </is>
      </c>
      <c r="R17" s="16" t="inlineStr"/>
      <c r="S17" s="16" t="inlineStr"/>
    </row>
    <row r="18">
      <c r="A18" s="15">
        <f>HYPERLINK("https://www.google.com/search?q=A11952604+Miami+MLS+listing", "A11952604")</f>
        <v/>
      </c>
      <c r="B18" s="16" t="inlineStr">
        <is>
          <t>3330 NW 4th St</t>
        </is>
      </c>
      <c r="C18" s="16" t="inlineStr">
        <is>
          <t>33125</t>
        </is>
      </c>
      <c r="D18" s="16" t="inlineStr">
        <is>
          <t>Miami-Dade County</t>
        </is>
      </c>
      <c r="E18" s="16" t="inlineStr">
        <is>
          <t>Duplex</t>
        </is>
      </c>
      <c r="F18" s="17" t="n">
        <v>2</v>
      </c>
      <c r="G18" s="18" t="n">
        <v>795000</v>
      </c>
      <c r="H18" s="18" t="n">
        <v>5200</v>
      </c>
      <c r="I18" s="19">
        <f>H18/G18</f>
        <v/>
      </c>
      <c r="J18" s="18">
        <f>H18*(1-Assumptions!$B$4)</f>
        <v/>
      </c>
      <c r="K18" s="20">
        <f>PMT(Assumptions!$B$2/12, 360, -G18*(1-Assumptions!$B$3))</f>
        <v/>
      </c>
      <c r="L18" s="20">
        <f>J18+K18</f>
        <v/>
      </c>
      <c r="M18" s="21">
        <f>IF(I18&gt;=0.01,50,IF(I18&gt;=0.0095,37,IF(I18&gt;=0.009,25,12)))</f>
        <v/>
      </c>
      <c r="N18" s="21">
        <f>IF(L18&gt;=2000,30,IF(L18&gt;=1000,20,IF(L18&gt;=500,10,5)))</f>
        <v/>
      </c>
      <c r="O18" s="21" t="n">
        <v>20</v>
      </c>
      <c r="P18" s="22">
        <f>M18+N18+O18</f>
        <v/>
      </c>
      <c r="Q18" s="16" t="inlineStr">
        <is>
          <t>A11952604</t>
        </is>
      </c>
      <c r="R18" s="16" t="inlineStr"/>
      <c r="S18" s="16" t="inlineStr"/>
    </row>
    <row r="19">
      <c r="A19" s="15">
        <f>HYPERLINK("https://www.google.com/search?q=A11868974+Miami+MLS+listing", "A11868974")</f>
        <v/>
      </c>
      <c r="B19" s="16" t="inlineStr">
        <is>
          <t>1255 NE 110th Ter</t>
        </is>
      </c>
      <c r="C19" s="16" t="inlineStr">
        <is>
          <t>33161</t>
        </is>
      </c>
      <c r="D19" s="16" t="inlineStr">
        <is>
          <t>Miami-Dade County</t>
        </is>
      </c>
      <c r="E19" s="16" t="inlineStr">
        <is>
          <t>Duplex</t>
        </is>
      </c>
      <c r="F19" s="17" t="n">
        <v>2</v>
      </c>
      <c r="G19" s="18" t="n">
        <v>660000</v>
      </c>
      <c r="H19" s="18" t="n">
        <v>5100</v>
      </c>
      <c r="I19" s="19">
        <f>H19/G19</f>
        <v/>
      </c>
      <c r="J19" s="18">
        <f>H19*(1-Assumptions!$B$4)</f>
        <v/>
      </c>
      <c r="K19" s="20">
        <f>PMT(Assumptions!$B$2/12, 360, -G19*(1-Assumptions!$B$3))</f>
        <v/>
      </c>
      <c r="L19" s="20">
        <f>J19+K19</f>
        <v/>
      </c>
      <c r="M19" s="21">
        <f>IF(I19&gt;=0.01,50,IF(I19&gt;=0.0095,37,IF(I19&gt;=0.009,25,12)))</f>
        <v/>
      </c>
      <c r="N19" s="21">
        <f>IF(L19&gt;=2000,30,IF(L19&gt;=1000,20,IF(L19&gt;=500,10,5)))</f>
        <v/>
      </c>
      <c r="O19" s="21" t="n">
        <v>20</v>
      </c>
      <c r="P19" s="22">
        <f>M19+N19+O19</f>
        <v/>
      </c>
      <c r="Q19" s="16" t="inlineStr">
        <is>
          <t>A11868974</t>
        </is>
      </c>
      <c r="R19" s="16" t="inlineStr"/>
      <c r="S19" s="16" t="inlineStr"/>
    </row>
    <row r="20">
      <c r="A20" s="15">
        <f>HYPERLINK("https://www.google.com/search?q=A11911368+Miami+MLS+listing", "A11911368")</f>
        <v/>
      </c>
      <c r="B20" s="16" t="inlineStr">
        <is>
          <t>1247 NW 28th St</t>
        </is>
      </c>
      <c r="C20" s="16" t="inlineStr">
        <is>
          <t>33142</t>
        </is>
      </c>
      <c r="D20" s="16" t="inlineStr">
        <is>
          <t>Miami-Dade County</t>
        </is>
      </c>
      <c r="E20" s="16" t="inlineStr">
        <is>
          <t>Duplex</t>
        </is>
      </c>
      <c r="F20" s="17" t="n">
        <v>2</v>
      </c>
      <c r="G20" s="18" t="n">
        <v>825000</v>
      </c>
      <c r="H20" s="18" t="n">
        <v>6400</v>
      </c>
      <c r="I20" s="19">
        <f>H20/G20</f>
        <v/>
      </c>
      <c r="J20" s="18">
        <f>H20*(1-Assumptions!$B$4)</f>
        <v/>
      </c>
      <c r="K20" s="20">
        <f>PMT(Assumptions!$B$2/12, 360, -G20*(1-Assumptions!$B$3))</f>
        <v/>
      </c>
      <c r="L20" s="20">
        <f>J20+K20</f>
        <v/>
      </c>
      <c r="M20" s="21">
        <f>IF(I20&gt;=0.01,50,IF(I20&gt;=0.0095,37,IF(I20&gt;=0.009,25,12)))</f>
        <v/>
      </c>
      <c r="N20" s="21">
        <f>IF(L20&gt;=2000,30,IF(L20&gt;=1000,20,IF(L20&gt;=500,10,5)))</f>
        <v/>
      </c>
      <c r="O20" s="21" t="n">
        <v>20</v>
      </c>
      <c r="P20" s="22">
        <f>M20+N20+O20</f>
        <v/>
      </c>
      <c r="Q20" s="16" t="inlineStr">
        <is>
          <t>A11911368</t>
        </is>
      </c>
      <c r="R20" s="16" t="inlineStr"/>
      <c r="S20" s="16" t="inlineStr"/>
    </row>
    <row r="21">
      <c r="A21" s="15">
        <f>HYPERLINK("https://www.google.com/search?q=A11854508+Miami+MLS+listing", "A11854508")</f>
        <v/>
      </c>
      <c r="B21" s="16" t="inlineStr">
        <is>
          <t>1701 SW 21st St</t>
        </is>
      </c>
      <c r="C21" s="16" t="inlineStr">
        <is>
          <t>33145</t>
        </is>
      </c>
      <c r="D21" s="16" t="inlineStr">
        <is>
          <t>Miami-Dade County</t>
        </is>
      </c>
      <c r="E21" s="16" t="inlineStr">
        <is>
          <t>Duplex</t>
        </is>
      </c>
      <c r="F21" s="17" t="n">
        <v>2</v>
      </c>
      <c r="G21" s="18" t="n">
        <v>899000</v>
      </c>
      <c r="H21" s="18" t="n">
        <v>5100</v>
      </c>
      <c r="I21" s="19">
        <f>H21/G21</f>
        <v/>
      </c>
      <c r="J21" s="18">
        <f>H21*(1-Assumptions!$B$4)</f>
        <v/>
      </c>
      <c r="K21" s="20">
        <f>PMT(Assumptions!$B$2/12, 360, -G21*(1-Assumptions!$B$3))</f>
        <v/>
      </c>
      <c r="L21" s="20">
        <f>J21+K21</f>
        <v/>
      </c>
      <c r="M21" s="21">
        <f>IF(I21&gt;=0.01,50,IF(I21&gt;=0.0095,37,IF(I21&gt;=0.009,25,12)))</f>
        <v/>
      </c>
      <c r="N21" s="21">
        <f>IF(L21&gt;=2000,30,IF(L21&gt;=1000,20,IF(L21&gt;=500,10,5)))</f>
        <v/>
      </c>
      <c r="O21" s="21" t="n">
        <v>20</v>
      </c>
      <c r="P21" s="22">
        <f>M21+N21+O21</f>
        <v/>
      </c>
      <c r="Q21" s="16" t="inlineStr">
        <is>
          <t>A11854508</t>
        </is>
      </c>
      <c r="R21" s="16" t="inlineStr"/>
      <c r="S21" s="16" t="inlineStr"/>
    </row>
    <row r="22">
      <c r="A22" s="15">
        <f>HYPERLINK("https://www.google.com/search?q=A11957385+Miami+MLS+listing", "A11957385")</f>
        <v/>
      </c>
      <c r="B22" s="16" t="inlineStr">
        <is>
          <t>1362 SW 2nd St</t>
        </is>
      </c>
      <c r="C22" s="16" t="inlineStr">
        <is>
          <t>33135</t>
        </is>
      </c>
      <c r="D22" s="16" t="inlineStr">
        <is>
          <t>Miami-Dade County</t>
        </is>
      </c>
      <c r="E22" s="16" t="inlineStr">
        <is>
          <t>Fourplex</t>
        </is>
      </c>
      <c r="F22" s="17" t="n">
        <v>4</v>
      </c>
      <c r="G22" s="18" t="n">
        <v>3990000</v>
      </c>
      <c r="H22" s="18" t="n">
        <v>5100</v>
      </c>
      <c r="I22" s="19">
        <f>H22/G22</f>
        <v/>
      </c>
      <c r="J22" s="18">
        <f>H22*(1-Assumptions!$B$4)</f>
        <v/>
      </c>
      <c r="K22" s="20">
        <f>PMT(Assumptions!$B$2/12, 360, -G22*(1-Assumptions!$B$3))</f>
        <v/>
      </c>
      <c r="L22" s="20">
        <f>J22+K22</f>
        <v/>
      </c>
      <c r="M22" s="21">
        <f>IF(I22&gt;=0.01,50,IF(I22&gt;=0.0095,37,IF(I22&gt;=0.009,25,12)))</f>
        <v/>
      </c>
      <c r="N22" s="21">
        <f>IF(L22&gt;=2000,30,IF(L22&gt;=1000,20,IF(L22&gt;=500,10,5)))</f>
        <v/>
      </c>
      <c r="O22" s="21" t="n">
        <v>20</v>
      </c>
      <c r="P22" s="22">
        <f>M22+N22+O22</f>
        <v/>
      </c>
      <c r="Q22" s="16" t="inlineStr">
        <is>
          <t>A11957385</t>
        </is>
      </c>
      <c r="R22" s="16" t="inlineStr"/>
      <c r="S22" s="16" t="inlineStr"/>
    </row>
    <row r="23">
      <c r="A23" s="15">
        <f>HYPERLINK("https://www.google.com/search?q=A11389399+Miami+MLS+listing", "A11389399")</f>
        <v/>
      </c>
      <c r="B23" s="16" t="inlineStr">
        <is>
          <t>2855 NW 22nd Ave</t>
        </is>
      </c>
      <c r="C23" s="16" t="inlineStr">
        <is>
          <t>33142</t>
        </is>
      </c>
      <c r="D23" s="16" t="inlineStr">
        <is>
          <t>Miami-Dade County</t>
        </is>
      </c>
      <c r="E23" s="16" t="inlineStr">
        <is>
          <t>Fourplex</t>
        </is>
      </c>
      <c r="F23" s="17" t="n">
        <v>4</v>
      </c>
      <c r="G23" s="18" t="n">
        <v>910000</v>
      </c>
      <c r="H23" s="18" t="n">
        <v>6425</v>
      </c>
      <c r="I23" s="19">
        <f>H23/G23</f>
        <v/>
      </c>
      <c r="J23" s="18">
        <f>H23*(1-Assumptions!$B$4)</f>
        <v/>
      </c>
      <c r="K23" s="20">
        <f>PMT(Assumptions!$B$2/12, 360, -G23*(1-Assumptions!$B$3))</f>
        <v/>
      </c>
      <c r="L23" s="20">
        <f>J23+K23</f>
        <v/>
      </c>
      <c r="M23" s="21">
        <f>IF(I23&gt;=0.01,50,IF(I23&gt;=0.0095,37,IF(I23&gt;=0.009,25,12)))</f>
        <v/>
      </c>
      <c r="N23" s="21">
        <f>IF(L23&gt;=2000,30,IF(L23&gt;=1000,20,IF(L23&gt;=500,10,5)))</f>
        <v/>
      </c>
      <c r="O23" s="21" t="n">
        <v>20</v>
      </c>
      <c r="P23" s="22">
        <f>M23+N23+O23</f>
        <v/>
      </c>
      <c r="Q23" s="16" t="inlineStr">
        <is>
          <t>A11389399</t>
        </is>
      </c>
      <c r="R23" s="16" t="inlineStr"/>
      <c r="S23" s="16" t="inlineStr"/>
    </row>
    <row r="24">
      <c r="A24" s="15">
        <f>HYPERLINK("https://www.google.com/search?q=A11965310+Miami+MLS+listing", "A11965310")</f>
        <v/>
      </c>
      <c r="B24" s="16" t="inlineStr">
        <is>
          <t>1220-1222 NE 110th Ter</t>
        </is>
      </c>
      <c r="C24" s="16" t="inlineStr">
        <is>
          <t>33161</t>
        </is>
      </c>
      <c r="D24" s="16" t="inlineStr">
        <is>
          <t>Miami-Dade County</t>
        </is>
      </c>
      <c r="E24" s="16" t="inlineStr">
        <is>
          <t>Triplex</t>
        </is>
      </c>
      <c r="F24" s="17" t="n">
        <v>3</v>
      </c>
      <c r="G24" s="18" t="n">
        <v>749000</v>
      </c>
      <c r="H24" s="18" t="n">
        <v>5095</v>
      </c>
      <c r="I24" s="19">
        <f>H24/G24</f>
        <v/>
      </c>
      <c r="J24" s="18">
        <f>H24*(1-Assumptions!$B$4)</f>
        <v/>
      </c>
      <c r="K24" s="20">
        <f>PMT(Assumptions!$B$2/12, 360, -G24*(1-Assumptions!$B$3))</f>
        <v/>
      </c>
      <c r="L24" s="20">
        <f>J24+K24</f>
        <v/>
      </c>
      <c r="M24" s="21">
        <f>IF(I24&gt;=0.01,50,IF(I24&gt;=0.0095,37,IF(I24&gt;=0.009,25,12)))</f>
        <v/>
      </c>
      <c r="N24" s="21">
        <f>IF(L24&gt;=2000,30,IF(L24&gt;=1000,20,IF(L24&gt;=500,10,5)))</f>
        <v/>
      </c>
      <c r="O24" s="21" t="n">
        <v>20</v>
      </c>
      <c r="P24" s="22">
        <f>M24+N24+O24</f>
        <v/>
      </c>
      <c r="Q24" s="16" t="inlineStr">
        <is>
          <t>A11965310</t>
        </is>
      </c>
      <c r="R24" s="16" t="inlineStr"/>
      <c r="S24" s="16" t="inlineStr"/>
    </row>
    <row r="25">
      <c r="A25" s="15">
        <f>HYPERLINK("https://www.google.com/search?q=A11962645+Miami+MLS+listing", "A11962645")</f>
        <v/>
      </c>
      <c r="B25" s="16" t="inlineStr">
        <is>
          <t>2900 SW 4th St</t>
        </is>
      </c>
      <c r="C25" s="16" t="inlineStr">
        <is>
          <t>33135</t>
        </is>
      </c>
      <c r="D25" s="16" t="inlineStr">
        <is>
          <t>Miami-Dade County</t>
        </is>
      </c>
      <c r="E25" s="16" t="inlineStr">
        <is>
          <t>Duplex</t>
        </is>
      </c>
      <c r="F25" s="17" t="n">
        <v>2</v>
      </c>
      <c r="G25" s="18" t="n">
        <v>975000</v>
      </c>
      <c r="H25" s="18" t="n">
        <v>5050</v>
      </c>
      <c r="I25" s="19">
        <f>H25/G25</f>
        <v/>
      </c>
      <c r="J25" s="18">
        <f>H25*(1-Assumptions!$B$4)</f>
        <v/>
      </c>
      <c r="K25" s="20">
        <f>PMT(Assumptions!$B$2/12, 360, -G25*(1-Assumptions!$B$3))</f>
        <v/>
      </c>
      <c r="L25" s="20">
        <f>J25+K25</f>
        <v/>
      </c>
      <c r="M25" s="21">
        <f>IF(I25&gt;=0.01,50,IF(I25&gt;=0.0095,37,IF(I25&gt;=0.009,25,12)))</f>
        <v/>
      </c>
      <c r="N25" s="21">
        <f>IF(L25&gt;=2000,30,IF(L25&gt;=1000,20,IF(L25&gt;=500,10,5)))</f>
        <v/>
      </c>
      <c r="O25" s="21" t="n">
        <v>20</v>
      </c>
      <c r="P25" s="22">
        <f>M25+N25+O25</f>
        <v/>
      </c>
      <c r="Q25" s="16" t="inlineStr">
        <is>
          <t>A11962645</t>
        </is>
      </c>
      <c r="R25" s="16" t="inlineStr"/>
      <c r="S25" s="16" t="inlineStr"/>
    </row>
    <row r="26">
      <c r="A26" s="15">
        <f>HYPERLINK("https://www.google.com/search?q=A11818575+Miami+MLS+listing", "A11818575")</f>
        <v/>
      </c>
      <c r="B26" s="16" t="inlineStr">
        <is>
          <t>77 Northwest Blvd</t>
        </is>
      </c>
      <c r="C26" s="16" t="inlineStr">
        <is>
          <t>33126</t>
        </is>
      </c>
      <c r="D26" s="16" t="inlineStr">
        <is>
          <t>Miami-Dade County</t>
        </is>
      </c>
      <c r="E26" s="16" t="inlineStr">
        <is>
          <t>Triplex</t>
        </is>
      </c>
      <c r="F26" s="17" t="n">
        <v>3</v>
      </c>
      <c r="G26" s="18" t="n">
        <v>1025000</v>
      </c>
      <c r="H26" s="18" t="n">
        <v>5050</v>
      </c>
      <c r="I26" s="19">
        <f>H26/G26</f>
        <v/>
      </c>
      <c r="J26" s="18">
        <f>H26*(1-Assumptions!$B$4)</f>
        <v/>
      </c>
      <c r="K26" s="20">
        <f>PMT(Assumptions!$B$2/12, 360, -G26*(1-Assumptions!$B$3))</f>
        <v/>
      </c>
      <c r="L26" s="20">
        <f>J26+K26</f>
        <v/>
      </c>
      <c r="M26" s="21">
        <f>IF(I26&gt;=0.01,50,IF(I26&gt;=0.0095,37,IF(I26&gt;=0.009,25,12)))</f>
        <v/>
      </c>
      <c r="N26" s="21">
        <f>IF(L26&gt;=2000,30,IF(L26&gt;=1000,20,IF(L26&gt;=500,10,5)))</f>
        <v/>
      </c>
      <c r="O26" s="21" t="n">
        <v>20</v>
      </c>
      <c r="P26" s="22">
        <f>M26+N26+O26</f>
        <v/>
      </c>
      <c r="Q26" s="16" t="inlineStr">
        <is>
          <t>A11818575</t>
        </is>
      </c>
      <c r="R26" s="16" t="inlineStr"/>
      <c r="S26" s="16" t="inlineStr"/>
    </row>
    <row r="27">
      <c r="A27" s="15">
        <f>HYPERLINK("https://www.google.com/search?q=A11913807+Miami+MLS+listing", "A11913807")</f>
        <v/>
      </c>
      <c r="B27" s="16" t="inlineStr">
        <is>
          <t>2800 NW 48th St</t>
        </is>
      </c>
      <c r="C27" s="16" t="inlineStr">
        <is>
          <t>33142</t>
        </is>
      </c>
      <c r="D27" s="16" t="inlineStr">
        <is>
          <t>Miami-Dade County</t>
        </is>
      </c>
      <c r="E27" s="16" t="inlineStr">
        <is>
          <t>Duplex</t>
        </is>
      </c>
      <c r="F27" s="17" t="n">
        <v>2</v>
      </c>
      <c r="G27" s="18" t="n">
        <v>749900</v>
      </c>
      <c r="H27" s="18" t="n">
        <v>5048</v>
      </c>
      <c r="I27" s="19">
        <f>H27/G27</f>
        <v/>
      </c>
      <c r="J27" s="18">
        <f>H27*(1-Assumptions!$B$4)</f>
        <v/>
      </c>
      <c r="K27" s="20">
        <f>PMT(Assumptions!$B$2/12, 360, -G27*(1-Assumptions!$B$3))</f>
        <v/>
      </c>
      <c r="L27" s="20">
        <f>J27+K27</f>
        <v/>
      </c>
      <c r="M27" s="21">
        <f>IF(I27&gt;=0.01,50,IF(I27&gt;=0.0095,37,IF(I27&gt;=0.009,25,12)))</f>
        <v/>
      </c>
      <c r="N27" s="21">
        <f>IF(L27&gt;=2000,30,IF(L27&gt;=1000,20,IF(L27&gt;=500,10,5)))</f>
        <v/>
      </c>
      <c r="O27" s="21" t="n">
        <v>20</v>
      </c>
      <c r="P27" s="22">
        <f>M27+N27+O27</f>
        <v/>
      </c>
      <c r="Q27" s="16" t="inlineStr">
        <is>
          <t>A11913807</t>
        </is>
      </c>
      <c r="R27" s="16" t="inlineStr"/>
      <c r="S27" s="16" t="inlineStr"/>
    </row>
    <row r="28">
      <c r="A28" s="15">
        <f>HYPERLINK("https://www.google.com/search?q=A11950698+Miami+MLS+listing", "A11950698")</f>
        <v/>
      </c>
      <c r="B28" s="16" t="inlineStr">
        <is>
          <t>2930 SW 11th ST</t>
        </is>
      </c>
      <c r="C28" s="16" t="inlineStr">
        <is>
          <t>33135</t>
        </is>
      </c>
      <c r="D28" s="16" t="inlineStr">
        <is>
          <t>Miami-Dade County</t>
        </is>
      </c>
      <c r="E28" s="16" t="inlineStr">
        <is>
          <t>Duplex</t>
        </is>
      </c>
      <c r="F28" s="17" t="n">
        <v>2</v>
      </c>
      <c r="G28" s="18" t="n">
        <v>965000</v>
      </c>
      <c r="H28" s="18" t="n">
        <v>5000</v>
      </c>
      <c r="I28" s="19">
        <f>H28/G28</f>
        <v/>
      </c>
      <c r="J28" s="18">
        <f>H28*(1-Assumptions!$B$4)</f>
        <v/>
      </c>
      <c r="K28" s="20">
        <f>PMT(Assumptions!$B$2/12, 360, -G28*(1-Assumptions!$B$3))</f>
        <v/>
      </c>
      <c r="L28" s="20">
        <f>J28+K28</f>
        <v/>
      </c>
      <c r="M28" s="21">
        <f>IF(I28&gt;=0.01,50,IF(I28&gt;=0.0095,37,IF(I28&gt;=0.009,25,12)))</f>
        <v/>
      </c>
      <c r="N28" s="21">
        <f>IF(L28&gt;=2000,30,IF(L28&gt;=1000,20,IF(L28&gt;=500,10,5)))</f>
        <v/>
      </c>
      <c r="O28" s="21" t="n">
        <v>20</v>
      </c>
      <c r="P28" s="22">
        <f>M28+N28+O28</f>
        <v/>
      </c>
      <c r="Q28" s="16" t="inlineStr">
        <is>
          <t>A11950698</t>
        </is>
      </c>
      <c r="R28" s="16" t="inlineStr"/>
      <c r="S28" s="16" t="inlineStr"/>
    </row>
    <row r="29">
      <c r="A29" s="15">
        <f>HYPERLINK("https://www.google.com/search?q=A11898915+Miami+MLS+listing", "A11898915")</f>
        <v/>
      </c>
      <c r="B29" s="16" t="inlineStr">
        <is>
          <t>1230 NE 148th St</t>
        </is>
      </c>
      <c r="C29" s="16" t="inlineStr">
        <is>
          <t>33161</t>
        </is>
      </c>
      <c r="D29" s="16" t="inlineStr">
        <is>
          <t>Miami-Dade County</t>
        </is>
      </c>
      <c r="E29" s="16" t="inlineStr">
        <is>
          <t>Duplex</t>
        </is>
      </c>
      <c r="F29" s="17" t="n">
        <v>2</v>
      </c>
      <c r="G29" s="18" t="n">
        <v>695000</v>
      </c>
      <c r="H29" s="18" t="n">
        <v>5000</v>
      </c>
      <c r="I29" s="19">
        <f>H29/G29</f>
        <v/>
      </c>
      <c r="J29" s="18">
        <f>H29*(1-Assumptions!$B$4)</f>
        <v/>
      </c>
      <c r="K29" s="20">
        <f>PMT(Assumptions!$B$2/12, 360, -G29*(1-Assumptions!$B$3))</f>
        <v/>
      </c>
      <c r="L29" s="20">
        <f>J29+K29</f>
        <v/>
      </c>
      <c r="M29" s="21">
        <f>IF(I29&gt;=0.01,50,IF(I29&gt;=0.0095,37,IF(I29&gt;=0.009,25,12)))</f>
        <v/>
      </c>
      <c r="N29" s="21">
        <f>IF(L29&gt;=2000,30,IF(L29&gt;=1000,20,IF(L29&gt;=500,10,5)))</f>
        <v/>
      </c>
      <c r="O29" s="21" t="n">
        <v>20</v>
      </c>
      <c r="P29" s="22">
        <f>M29+N29+O29</f>
        <v/>
      </c>
      <c r="Q29" s="16" t="inlineStr">
        <is>
          <t>A11898915</t>
        </is>
      </c>
      <c r="R29" s="16" t="inlineStr"/>
      <c r="S29" s="16" t="inlineStr"/>
    </row>
    <row r="30">
      <c r="A30" s="15">
        <f>HYPERLINK("https://www.google.com/search?q=A11857462+Miami+MLS+listing", "A11857462")</f>
        <v/>
      </c>
      <c r="B30" s="16" t="inlineStr">
        <is>
          <t>2367 SW 19th St</t>
        </is>
      </c>
      <c r="C30" s="16" t="inlineStr">
        <is>
          <t>33145</t>
        </is>
      </c>
      <c r="D30" s="16" t="inlineStr">
        <is>
          <t>Miami-Dade County</t>
        </is>
      </c>
      <c r="E30" s="16" t="inlineStr">
        <is>
          <t>Duplex</t>
        </is>
      </c>
      <c r="F30" s="17" t="n">
        <v>2</v>
      </c>
      <c r="G30" s="18" t="n">
        <v>1500000</v>
      </c>
      <c r="H30" s="18" t="n">
        <v>5000</v>
      </c>
      <c r="I30" s="19">
        <f>H30/G30</f>
        <v/>
      </c>
      <c r="J30" s="18">
        <f>H30*(1-Assumptions!$B$4)</f>
        <v/>
      </c>
      <c r="K30" s="20">
        <f>PMT(Assumptions!$B$2/12, 360, -G30*(1-Assumptions!$B$3))</f>
        <v/>
      </c>
      <c r="L30" s="20">
        <f>J30+K30</f>
        <v/>
      </c>
      <c r="M30" s="21">
        <f>IF(I30&gt;=0.01,50,IF(I30&gt;=0.0095,37,IF(I30&gt;=0.009,25,12)))</f>
        <v/>
      </c>
      <c r="N30" s="21">
        <f>IF(L30&gt;=2000,30,IF(L30&gt;=1000,20,IF(L30&gt;=500,10,5)))</f>
        <v/>
      </c>
      <c r="O30" s="21" t="n">
        <v>20</v>
      </c>
      <c r="P30" s="22">
        <f>M30+N30+O30</f>
        <v/>
      </c>
      <c r="Q30" s="16" t="inlineStr">
        <is>
          <t>A11857462</t>
        </is>
      </c>
      <c r="R30" s="16" t="inlineStr"/>
      <c r="S30" s="16" t="inlineStr"/>
    </row>
    <row r="31">
      <c r="A31" s="15">
        <f>HYPERLINK("https://www.google.com/search?q=A11873597+Miami+MLS+listing", "A11873597")</f>
        <v/>
      </c>
      <c r="B31" s="16" t="inlineStr">
        <is>
          <t>272 NW 59th Street</t>
        </is>
      </c>
      <c r="C31" s="16" t="inlineStr">
        <is>
          <t>33127</t>
        </is>
      </c>
      <c r="D31" s="16" t="inlineStr">
        <is>
          <t>Miami-Dade County</t>
        </is>
      </c>
      <c r="E31" s="16" t="inlineStr">
        <is>
          <t>Duplex</t>
        </is>
      </c>
      <c r="F31" s="17" t="n">
        <v>2</v>
      </c>
      <c r="G31" s="18" t="n">
        <v>1400000</v>
      </c>
      <c r="H31" s="18" t="n">
        <v>6500</v>
      </c>
      <c r="I31" s="19">
        <f>H31/G31</f>
        <v/>
      </c>
      <c r="J31" s="18">
        <f>H31*(1-Assumptions!$B$4)</f>
        <v/>
      </c>
      <c r="K31" s="20">
        <f>PMT(Assumptions!$B$2/12, 360, -G31*(1-Assumptions!$B$3))</f>
        <v/>
      </c>
      <c r="L31" s="20">
        <f>J31+K31</f>
        <v/>
      </c>
      <c r="M31" s="21">
        <f>IF(I31&gt;=0.01,50,IF(I31&gt;=0.0095,37,IF(I31&gt;=0.009,25,12)))</f>
        <v/>
      </c>
      <c r="N31" s="21">
        <f>IF(L31&gt;=2000,30,IF(L31&gt;=1000,20,IF(L31&gt;=500,10,5)))</f>
        <v/>
      </c>
      <c r="O31" s="21" t="n">
        <v>20</v>
      </c>
      <c r="P31" s="22">
        <f>M31+N31+O31</f>
        <v/>
      </c>
      <c r="Q31" s="16" t="inlineStr">
        <is>
          <t>A11873597</t>
        </is>
      </c>
      <c r="R31" s="16" t="inlineStr"/>
      <c r="S31" s="16" t="inlineStr"/>
    </row>
    <row r="32">
      <c r="A32" s="15">
        <f>HYPERLINK("https://www.google.com/search?q=A11870712+Miami+MLS+listing", "A11870712")</f>
        <v/>
      </c>
      <c r="B32" s="16" t="inlineStr">
        <is>
          <t>1450 NW 35th St</t>
        </is>
      </c>
      <c r="C32" s="16" t="inlineStr">
        <is>
          <t>33142</t>
        </is>
      </c>
      <c r="D32" s="16" t="inlineStr">
        <is>
          <t>Miami-Dade County</t>
        </is>
      </c>
      <c r="E32" s="16" t="inlineStr">
        <is>
          <t>Duplex</t>
        </is>
      </c>
      <c r="F32" s="17" t="n">
        <v>2</v>
      </c>
      <c r="G32" s="18" t="n">
        <v>679900</v>
      </c>
      <c r="H32" s="18" t="n">
        <v>5295</v>
      </c>
      <c r="I32" s="19">
        <f>H32/G32</f>
        <v/>
      </c>
      <c r="J32" s="18">
        <f>H32*(1-Assumptions!$B$4)</f>
        <v/>
      </c>
      <c r="K32" s="20">
        <f>PMT(Assumptions!$B$2/12, 360, -G32*(1-Assumptions!$B$3))</f>
        <v/>
      </c>
      <c r="L32" s="20">
        <f>J32+K32</f>
        <v/>
      </c>
      <c r="M32" s="21">
        <f>IF(I32&gt;=0.01,50,IF(I32&gt;=0.0095,37,IF(I32&gt;=0.009,25,12)))</f>
        <v/>
      </c>
      <c r="N32" s="21">
        <f>IF(L32&gt;=2000,30,IF(L32&gt;=1000,20,IF(L32&gt;=500,10,5)))</f>
        <v/>
      </c>
      <c r="O32" s="21" t="n">
        <v>20</v>
      </c>
      <c r="P32" s="22">
        <f>M32+N32+O32</f>
        <v/>
      </c>
      <c r="Q32" s="16" t="inlineStr">
        <is>
          <t>A11870712</t>
        </is>
      </c>
      <c r="R32" s="16" t="inlineStr"/>
      <c r="S32" s="16" t="inlineStr"/>
    </row>
    <row r="33">
      <c r="A33" s="15">
        <f>HYPERLINK("https://www.google.com/search?q=A11937235+Miami+MLS+listing", "A11937235")</f>
        <v/>
      </c>
      <c r="B33" s="16" t="inlineStr">
        <is>
          <t>890 NW 55th St</t>
        </is>
      </c>
      <c r="C33" s="16" t="inlineStr">
        <is>
          <t>33127</t>
        </is>
      </c>
      <c r="D33" s="16" t="inlineStr">
        <is>
          <t>Miami-Dade County</t>
        </is>
      </c>
      <c r="E33" s="16" t="inlineStr">
        <is>
          <t>Duplex</t>
        </is>
      </c>
      <c r="F33" s="17" t="n">
        <v>2</v>
      </c>
      <c r="G33" s="18" t="n">
        <v>795000</v>
      </c>
      <c r="H33" s="18" t="n">
        <v>5000</v>
      </c>
      <c r="I33" s="19">
        <f>H33/G33</f>
        <v/>
      </c>
      <c r="J33" s="18">
        <f>H33*(1-Assumptions!$B$4)</f>
        <v/>
      </c>
      <c r="K33" s="20">
        <f>PMT(Assumptions!$B$2/12, 360, -G33*(1-Assumptions!$B$3))</f>
        <v/>
      </c>
      <c r="L33" s="20">
        <f>J33+K33</f>
        <v/>
      </c>
      <c r="M33" s="21">
        <f>IF(I33&gt;=0.01,50,IF(I33&gt;=0.0095,37,IF(I33&gt;=0.009,25,12)))</f>
        <v/>
      </c>
      <c r="N33" s="21">
        <f>IF(L33&gt;=2000,30,IF(L33&gt;=1000,20,IF(L33&gt;=500,10,5)))</f>
        <v/>
      </c>
      <c r="O33" s="21" t="n">
        <v>20</v>
      </c>
      <c r="P33" s="22">
        <f>M33+N33+O33</f>
        <v/>
      </c>
      <c r="Q33" s="16" t="inlineStr">
        <is>
          <t>A11937235</t>
        </is>
      </c>
      <c r="R33" s="16" t="inlineStr"/>
      <c r="S33" s="16" t="inlineStr"/>
    </row>
    <row r="34">
      <c r="A34" s="15">
        <f>HYPERLINK("https://www.google.com/search?q=A11974034+Miami+MLS+listing", "A11974034")</f>
        <v/>
      </c>
      <c r="B34" s="16" t="inlineStr">
        <is>
          <t>7001 NW 6th Ave</t>
        </is>
      </c>
      <c r="C34" s="16" t="inlineStr">
        <is>
          <t>33150</t>
        </is>
      </c>
      <c r="D34" s="16" t="inlineStr">
        <is>
          <t>Miami-Dade County</t>
        </is>
      </c>
      <c r="E34" s="16" t="inlineStr">
        <is>
          <t>Duplex</t>
        </is>
      </c>
      <c r="F34" s="17" t="n">
        <v>2</v>
      </c>
      <c r="G34" s="18" t="n">
        <v>599000</v>
      </c>
      <c r="H34" s="18" t="n">
        <v>5000</v>
      </c>
      <c r="I34" s="19">
        <f>H34/G34</f>
        <v/>
      </c>
      <c r="J34" s="18">
        <f>H34*(1-Assumptions!$B$4)</f>
        <v/>
      </c>
      <c r="K34" s="20">
        <f>PMT(Assumptions!$B$2/12, 360, -G34*(1-Assumptions!$B$3))</f>
        <v/>
      </c>
      <c r="L34" s="20">
        <f>J34+K34</f>
        <v/>
      </c>
      <c r="M34" s="21">
        <f>IF(I34&gt;=0.01,50,IF(I34&gt;=0.0095,37,IF(I34&gt;=0.009,25,12)))</f>
        <v/>
      </c>
      <c r="N34" s="21">
        <f>IF(L34&gt;=2000,30,IF(L34&gt;=1000,20,IF(L34&gt;=500,10,5)))</f>
        <v/>
      </c>
      <c r="O34" s="21" t="n">
        <v>20</v>
      </c>
      <c r="P34" s="22">
        <f>M34+N34+O34</f>
        <v/>
      </c>
      <c r="Q34" s="16" t="inlineStr">
        <is>
          <t>A11974034</t>
        </is>
      </c>
      <c r="R34" s="16" t="inlineStr"/>
      <c r="S34" s="16" t="inlineStr"/>
    </row>
    <row r="35">
      <c r="A35" s="15">
        <f>HYPERLINK("https://www.google.com/search?q=A11908596+Miami+MLS+listing", "A11908596")</f>
        <v/>
      </c>
      <c r="B35" s="16" t="inlineStr">
        <is>
          <t>5511 NW 5th Ct</t>
        </is>
      </c>
      <c r="C35" s="16" t="inlineStr">
        <is>
          <t>33127</t>
        </is>
      </c>
      <c r="D35" s="16" t="inlineStr">
        <is>
          <t>Miami-Dade County</t>
        </is>
      </c>
      <c r="E35" s="16" t="inlineStr">
        <is>
          <t>Duplex</t>
        </is>
      </c>
      <c r="F35" s="17" t="n">
        <v>2</v>
      </c>
      <c r="G35" s="18" t="n">
        <v>749000</v>
      </c>
      <c r="H35" s="18" t="n">
        <v>4950</v>
      </c>
      <c r="I35" s="19">
        <f>H35/G35</f>
        <v/>
      </c>
      <c r="J35" s="18">
        <f>H35*(1-Assumptions!$B$4)</f>
        <v/>
      </c>
      <c r="K35" s="20">
        <f>PMT(Assumptions!$B$2/12, 360, -G35*(1-Assumptions!$B$3))</f>
        <v/>
      </c>
      <c r="L35" s="20">
        <f>J35+K35</f>
        <v/>
      </c>
      <c r="M35" s="21">
        <f>IF(I35&gt;=0.01,50,IF(I35&gt;=0.0095,37,IF(I35&gt;=0.009,25,12)))</f>
        <v/>
      </c>
      <c r="N35" s="21">
        <f>IF(L35&gt;=2000,30,IF(L35&gt;=1000,20,IF(L35&gt;=500,10,5)))</f>
        <v/>
      </c>
      <c r="O35" s="21" t="n">
        <v>20</v>
      </c>
      <c r="P35" s="22">
        <f>M35+N35+O35</f>
        <v/>
      </c>
      <c r="Q35" s="16" t="inlineStr">
        <is>
          <t>A11908596</t>
        </is>
      </c>
      <c r="R35" s="16" t="inlineStr"/>
      <c r="S35" s="16" t="inlineStr"/>
    </row>
    <row r="36">
      <c r="A36" s="15">
        <f>HYPERLINK("https://www.google.com/search?q=A11962171+Miami+MLS+listing", "A11962171")</f>
        <v/>
      </c>
      <c r="B36" s="16" t="inlineStr">
        <is>
          <t>201 S Biscayne River Dr #0</t>
        </is>
      </c>
      <c r="C36" s="16" t="inlineStr">
        <is>
          <t>33169</t>
        </is>
      </c>
      <c r="D36" s="16" t="inlineStr">
        <is>
          <t>Miami-Dade County</t>
        </is>
      </c>
      <c r="E36" s="16" t="inlineStr">
        <is>
          <t>Duplex</t>
        </is>
      </c>
      <c r="F36" s="17" t="n">
        <v>2</v>
      </c>
      <c r="G36" s="18" t="n">
        <v>980000</v>
      </c>
      <c r="H36" s="18" t="n">
        <v>4950</v>
      </c>
      <c r="I36" s="19">
        <f>H36/G36</f>
        <v/>
      </c>
      <c r="J36" s="18">
        <f>H36*(1-Assumptions!$B$4)</f>
        <v/>
      </c>
      <c r="K36" s="20">
        <f>PMT(Assumptions!$B$2/12, 360, -G36*(1-Assumptions!$B$3))</f>
        <v/>
      </c>
      <c r="L36" s="20">
        <f>J36+K36</f>
        <v/>
      </c>
      <c r="M36" s="21">
        <f>IF(I36&gt;=0.01,50,IF(I36&gt;=0.0095,37,IF(I36&gt;=0.009,25,12)))</f>
        <v/>
      </c>
      <c r="N36" s="21">
        <f>IF(L36&gt;=2000,30,IF(L36&gt;=1000,20,IF(L36&gt;=500,10,5)))</f>
        <v/>
      </c>
      <c r="O36" s="21" t="n">
        <v>20</v>
      </c>
      <c r="P36" s="22">
        <f>M36+N36+O36</f>
        <v/>
      </c>
      <c r="Q36" s="16" t="inlineStr">
        <is>
          <t>A11962171</t>
        </is>
      </c>
      <c r="R36" s="16" t="inlineStr"/>
      <c r="S36" s="16" t="inlineStr"/>
    </row>
    <row r="37">
      <c r="A37" s="15">
        <f>HYPERLINK("https://www.google.com/search?q=A11612506+Miami+MLS+listing", "A11612506")</f>
        <v/>
      </c>
      <c r="B37" s="16" t="inlineStr">
        <is>
          <t>3100 NW 92nd St</t>
        </is>
      </c>
      <c r="C37" s="16" t="inlineStr">
        <is>
          <t>33147</t>
        </is>
      </c>
      <c r="D37" s="16" t="inlineStr">
        <is>
          <t>Miami-Dade County</t>
        </is>
      </c>
      <c r="E37" s="16" t="inlineStr">
        <is>
          <t>Duplex</t>
        </is>
      </c>
      <c r="F37" s="17" t="n">
        <v>2</v>
      </c>
      <c r="G37" s="18" t="n">
        <v>564000</v>
      </c>
      <c r="H37" s="18" t="n">
        <v>4900</v>
      </c>
      <c r="I37" s="19">
        <f>H37/G37</f>
        <v/>
      </c>
      <c r="J37" s="18">
        <f>H37*(1-Assumptions!$B$4)</f>
        <v/>
      </c>
      <c r="K37" s="20">
        <f>PMT(Assumptions!$B$2/12, 360, -G37*(1-Assumptions!$B$3))</f>
        <v/>
      </c>
      <c r="L37" s="20">
        <f>J37+K37</f>
        <v/>
      </c>
      <c r="M37" s="21">
        <f>IF(I37&gt;=0.01,50,IF(I37&gt;=0.0095,37,IF(I37&gt;=0.009,25,12)))</f>
        <v/>
      </c>
      <c r="N37" s="21">
        <f>IF(L37&gt;=2000,30,IF(L37&gt;=1000,20,IF(L37&gt;=500,10,5)))</f>
        <v/>
      </c>
      <c r="O37" s="21" t="n">
        <v>20</v>
      </c>
      <c r="P37" s="22">
        <f>M37+N37+O37</f>
        <v/>
      </c>
      <c r="Q37" s="16" t="inlineStr">
        <is>
          <t>A11612506</t>
        </is>
      </c>
      <c r="R37" s="16" t="inlineStr"/>
      <c r="S37" s="16" t="inlineStr"/>
    </row>
    <row r="38">
      <c r="A38" s="15">
        <f>HYPERLINK("https://www.google.com/search?q=A11819098+Miami+MLS+listing", "A11819098")</f>
        <v/>
      </c>
      <c r="B38" s="16" t="inlineStr">
        <is>
          <t>829 SW 19th Ave</t>
        </is>
      </c>
      <c r="C38" s="16" t="inlineStr">
        <is>
          <t>33135</t>
        </is>
      </c>
      <c r="D38" s="16" t="inlineStr">
        <is>
          <t>Miami-Dade County</t>
        </is>
      </c>
      <c r="E38" s="16" t="inlineStr">
        <is>
          <t>Fourplex</t>
        </is>
      </c>
      <c r="F38" s="17" t="n">
        <v>4</v>
      </c>
      <c r="G38" s="18" t="n">
        <v>2200000</v>
      </c>
      <c r="H38" s="18" t="n">
        <v>4900</v>
      </c>
      <c r="I38" s="19">
        <f>H38/G38</f>
        <v/>
      </c>
      <c r="J38" s="18">
        <f>H38*(1-Assumptions!$B$4)</f>
        <v/>
      </c>
      <c r="K38" s="20">
        <f>PMT(Assumptions!$B$2/12, 360, -G38*(1-Assumptions!$B$3))</f>
        <v/>
      </c>
      <c r="L38" s="20">
        <f>J38+K38</f>
        <v/>
      </c>
      <c r="M38" s="21">
        <f>IF(I38&gt;=0.01,50,IF(I38&gt;=0.0095,37,IF(I38&gt;=0.009,25,12)))</f>
        <v/>
      </c>
      <c r="N38" s="21">
        <f>IF(L38&gt;=2000,30,IF(L38&gt;=1000,20,IF(L38&gt;=500,10,5)))</f>
        <v/>
      </c>
      <c r="O38" s="21" t="n">
        <v>20</v>
      </c>
      <c r="P38" s="22">
        <f>M38+N38+O38</f>
        <v/>
      </c>
      <c r="Q38" s="16" t="inlineStr">
        <is>
          <t>A11819098</t>
        </is>
      </c>
      <c r="R38" s="16" t="inlineStr"/>
      <c r="S38" s="16" t="inlineStr"/>
    </row>
    <row r="39">
      <c r="A39" s="15">
        <f>HYPERLINK("https://www.google.com/search?q=A11964838+Miami+MLS+listing", "A11964838")</f>
        <v/>
      </c>
      <c r="B39" s="16" t="inlineStr">
        <is>
          <t>36 NW 151st St</t>
        </is>
      </c>
      <c r="C39" s="16" t="inlineStr">
        <is>
          <t>33169</t>
        </is>
      </c>
      <c r="D39" s="16" t="inlineStr">
        <is>
          <t>Miami-Dade County</t>
        </is>
      </c>
      <c r="E39" s="16" t="inlineStr">
        <is>
          <t>Duplex</t>
        </is>
      </c>
      <c r="F39" s="17" t="n">
        <v>2</v>
      </c>
      <c r="G39" s="18" t="n">
        <v>725000</v>
      </c>
      <c r="H39" s="18" t="n">
        <v>4850</v>
      </c>
      <c r="I39" s="19">
        <f>H39/G39</f>
        <v/>
      </c>
      <c r="J39" s="18">
        <f>H39*(1-Assumptions!$B$4)</f>
        <v/>
      </c>
      <c r="K39" s="20">
        <f>PMT(Assumptions!$B$2/12, 360, -G39*(1-Assumptions!$B$3))</f>
        <v/>
      </c>
      <c r="L39" s="20">
        <f>J39+K39</f>
        <v/>
      </c>
      <c r="M39" s="21">
        <f>IF(I39&gt;=0.01,50,IF(I39&gt;=0.0095,37,IF(I39&gt;=0.009,25,12)))</f>
        <v/>
      </c>
      <c r="N39" s="21">
        <f>IF(L39&gt;=2000,30,IF(L39&gt;=1000,20,IF(L39&gt;=500,10,5)))</f>
        <v/>
      </c>
      <c r="O39" s="21" t="n">
        <v>20</v>
      </c>
      <c r="P39" s="22">
        <f>M39+N39+O39</f>
        <v/>
      </c>
      <c r="Q39" s="16" t="inlineStr">
        <is>
          <t>A11964838</t>
        </is>
      </c>
      <c r="R39" s="16" t="inlineStr"/>
      <c r="S39" s="16" t="inlineStr"/>
    </row>
    <row r="40">
      <c r="A40" s="15">
        <f>HYPERLINK("https://www.google.com/search?q=A11811435+Miami+MLS+listing", "A11811435")</f>
        <v/>
      </c>
      <c r="B40" s="16" t="inlineStr">
        <is>
          <t>1237 NW 33rd Ave</t>
        </is>
      </c>
      <c r="C40" s="16" t="inlineStr">
        <is>
          <t>33125</t>
        </is>
      </c>
      <c r="D40" s="16" t="inlineStr">
        <is>
          <t>Miami-Dade County</t>
        </is>
      </c>
      <c r="E40" s="16" t="inlineStr">
        <is>
          <t>Duplex</t>
        </is>
      </c>
      <c r="F40" s="17" t="n">
        <v>2</v>
      </c>
      <c r="G40" s="18" t="n">
        <v>850000</v>
      </c>
      <c r="H40" s="18" t="n">
        <v>4800</v>
      </c>
      <c r="I40" s="19">
        <f>H40/G40</f>
        <v/>
      </c>
      <c r="J40" s="18">
        <f>H40*(1-Assumptions!$B$4)</f>
        <v/>
      </c>
      <c r="K40" s="20">
        <f>PMT(Assumptions!$B$2/12, 360, -G40*(1-Assumptions!$B$3))</f>
        <v/>
      </c>
      <c r="L40" s="20">
        <f>J40+K40</f>
        <v/>
      </c>
      <c r="M40" s="21">
        <f>IF(I40&gt;=0.01,50,IF(I40&gt;=0.0095,37,IF(I40&gt;=0.009,25,12)))</f>
        <v/>
      </c>
      <c r="N40" s="21">
        <f>IF(L40&gt;=2000,30,IF(L40&gt;=1000,20,IF(L40&gt;=500,10,5)))</f>
        <v/>
      </c>
      <c r="O40" s="21" t="n">
        <v>20</v>
      </c>
      <c r="P40" s="22">
        <f>M40+N40+O40</f>
        <v/>
      </c>
      <c r="Q40" s="16" t="inlineStr">
        <is>
          <t>A11811435</t>
        </is>
      </c>
      <c r="R40" s="16" t="inlineStr"/>
      <c r="S40" s="16" t="inlineStr"/>
    </row>
    <row r="41">
      <c r="A41" s="15">
        <f>HYPERLINK("https://www.google.com/search?q=A11787663+Miami+MLS+listing", "A11787663")</f>
        <v/>
      </c>
      <c r="B41" s="16" t="inlineStr">
        <is>
          <t>1864 NW 88th Ter</t>
        </is>
      </c>
      <c r="C41" s="16" t="inlineStr">
        <is>
          <t>33147</t>
        </is>
      </c>
      <c r="D41" s="16" t="inlineStr">
        <is>
          <t>Miami-Dade County</t>
        </is>
      </c>
      <c r="E41" s="16" t="inlineStr">
        <is>
          <t>Duplex</t>
        </is>
      </c>
      <c r="F41" s="17" t="n">
        <v>2</v>
      </c>
      <c r="G41" s="18" t="n">
        <v>615000</v>
      </c>
      <c r="H41" s="18" t="n">
        <v>4800</v>
      </c>
      <c r="I41" s="19">
        <f>H41/G41</f>
        <v/>
      </c>
      <c r="J41" s="18">
        <f>H41*(1-Assumptions!$B$4)</f>
        <v/>
      </c>
      <c r="K41" s="20">
        <f>PMT(Assumptions!$B$2/12, 360, -G41*(1-Assumptions!$B$3))</f>
        <v/>
      </c>
      <c r="L41" s="20">
        <f>J41+K41</f>
        <v/>
      </c>
      <c r="M41" s="21">
        <f>IF(I41&gt;=0.01,50,IF(I41&gt;=0.0095,37,IF(I41&gt;=0.009,25,12)))</f>
        <v/>
      </c>
      <c r="N41" s="21">
        <f>IF(L41&gt;=2000,30,IF(L41&gt;=1000,20,IF(L41&gt;=500,10,5)))</f>
        <v/>
      </c>
      <c r="O41" s="21" t="n">
        <v>20</v>
      </c>
      <c r="P41" s="22">
        <f>M41+N41+O41</f>
        <v/>
      </c>
      <c r="Q41" s="16" t="inlineStr">
        <is>
          <t>A11787663</t>
        </is>
      </c>
      <c r="R41" s="16" t="inlineStr"/>
      <c r="S41" s="16" t="inlineStr"/>
    </row>
    <row r="42">
      <c r="A42" s="15">
        <f>HYPERLINK("https://www.google.com/search?q=A11947653+Miami+MLS+listing", "A11947653")</f>
        <v/>
      </c>
      <c r="B42" s="16" t="inlineStr">
        <is>
          <t>7546 NW 2nd Ter</t>
        </is>
      </c>
      <c r="C42" s="16" t="inlineStr">
        <is>
          <t>33126</t>
        </is>
      </c>
      <c r="D42" s="16" t="inlineStr">
        <is>
          <t>Miami-Dade County</t>
        </is>
      </c>
      <c r="E42" s="16" t="inlineStr">
        <is>
          <t>Duplex</t>
        </is>
      </c>
      <c r="F42" s="17" t="n">
        <v>2</v>
      </c>
      <c r="G42" s="18" t="n">
        <v>799000</v>
      </c>
      <c r="H42" s="18" t="n">
        <v>4650</v>
      </c>
      <c r="I42" s="19">
        <f>H42/G42</f>
        <v/>
      </c>
      <c r="J42" s="18">
        <f>H42*(1-Assumptions!$B$4)</f>
        <v/>
      </c>
      <c r="K42" s="20">
        <f>PMT(Assumptions!$B$2/12, 360, -G42*(1-Assumptions!$B$3))</f>
        <v/>
      </c>
      <c r="L42" s="20">
        <f>J42+K42</f>
        <v/>
      </c>
      <c r="M42" s="21">
        <f>IF(I42&gt;=0.01,50,IF(I42&gt;=0.0095,37,IF(I42&gt;=0.009,25,12)))</f>
        <v/>
      </c>
      <c r="N42" s="21">
        <f>IF(L42&gt;=2000,30,IF(L42&gt;=1000,20,IF(L42&gt;=500,10,5)))</f>
        <v/>
      </c>
      <c r="O42" s="21" t="n">
        <v>20</v>
      </c>
      <c r="P42" s="22">
        <f>M42+N42+O42</f>
        <v/>
      </c>
      <c r="Q42" s="16" t="inlineStr">
        <is>
          <t>A11947653</t>
        </is>
      </c>
      <c r="R42" s="16" t="inlineStr"/>
      <c r="S42" s="16" t="inlineStr"/>
    </row>
    <row r="43">
      <c r="A43" s="15">
        <f>HYPERLINK("https://www.google.com/search?q=A11940926+Miami+MLS+listing", "A11940926")</f>
        <v/>
      </c>
      <c r="B43" s="16" t="inlineStr">
        <is>
          <t>632 15th St</t>
        </is>
      </c>
      <c r="C43" s="16" t="inlineStr">
        <is>
          <t>33139</t>
        </is>
      </c>
      <c r="D43" s="16" t="inlineStr">
        <is>
          <t>Miami-Dade County</t>
        </is>
      </c>
      <c r="E43" s="16" t="inlineStr">
        <is>
          <t>Fourplex</t>
        </is>
      </c>
      <c r="F43" s="17" t="n">
        <v>4</v>
      </c>
      <c r="G43" s="18" t="n">
        <v>3000000</v>
      </c>
      <c r="H43" s="18" t="n">
        <v>4600</v>
      </c>
      <c r="I43" s="19">
        <f>H43/G43</f>
        <v/>
      </c>
      <c r="J43" s="18">
        <f>H43*(1-Assumptions!$B$4)</f>
        <v/>
      </c>
      <c r="K43" s="20">
        <f>PMT(Assumptions!$B$2/12, 360, -G43*(1-Assumptions!$B$3))</f>
        <v/>
      </c>
      <c r="L43" s="20">
        <f>J43+K43</f>
        <v/>
      </c>
      <c r="M43" s="21">
        <f>IF(I43&gt;=0.01,50,IF(I43&gt;=0.0095,37,IF(I43&gt;=0.009,25,12)))</f>
        <v/>
      </c>
      <c r="N43" s="21">
        <f>IF(L43&gt;=2000,30,IF(L43&gt;=1000,20,IF(L43&gt;=500,10,5)))</f>
        <v/>
      </c>
      <c r="O43" s="21" t="n">
        <v>20</v>
      </c>
      <c r="P43" s="22">
        <f>M43+N43+O43</f>
        <v/>
      </c>
      <c r="Q43" s="16" t="inlineStr">
        <is>
          <t>A11940926</t>
        </is>
      </c>
      <c r="R43" s="16" t="inlineStr"/>
      <c r="S43" s="16" t="inlineStr"/>
    </row>
    <row r="44">
      <c r="A44" s="15">
        <f>HYPERLINK("https://www.google.com/search?q=A11849114+Miami+MLS+listing", "A11849114")</f>
        <v/>
      </c>
      <c r="B44" s="16" t="inlineStr">
        <is>
          <t>1499 NW 32nd St</t>
        </is>
      </c>
      <c r="C44" s="16" t="inlineStr">
        <is>
          <t>33142</t>
        </is>
      </c>
      <c r="D44" s="16" t="inlineStr">
        <is>
          <t>Miami-Dade County</t>
        </is>
      </c>
      <c r="E44" s="16" t="inlineStr">
        <is>
          <t>Duplex</t>
        </is>
      </c>
      <c r="F44" s="17" t="n">
        <v>2</v>
      </c>
      <c r="G44" s="18" t="n">
        <v>1100000</v>
      </c>
      <c r="H44" s="18" t="n">
        <v>6500</v>
      </c>
      <c r="I44" s="19">
        <f>H44/G44</f>
        <v/>
      </c>
      <c r="J44" s="18">
        <f>H44*(1-Assumptions!$B$4)</f>
        <v/>
      </c>
      <c r="K44" s="20">
        <f>PMT(Assumptions!$B$2/12, 360, -G44*(1-Assumptions!$B$3))</f>
        <v/>
      </c>
      <c r="L44" s="20">
        <f>J44+K44</f>
        <v/>
      </c>
      <c r="M44" s="21">
        <f>IF(I44&gt;=0.01,50,IF(I44&gt;=0.0095,37,IF(I44&gt;=0.009,25,12)))</f>
        <v/>
      </c>
      <c r="N44" s="21">
        <f>IF(L44&gt;=2000,30,IF(L44&gt;=1000,20,IF(L44&gt;=500,10,5)))</f>
        <v/>
      </c>
      <c r="O44" s="21" t="n">
        <v>20</v>
      </c>
      <c r="P44" s="22">
        <f>M44+N44+O44</f>
        <v/>
      </c>
      <c r="Q44" s="16" t="inlineStr">
        <is>
          <t>A11849114</t>
        </is>
      </c>
      <c r="R44" s="16" t="inlineStr"/>
      <c r="S44" s="16" t="inlineStr"/>
    </row>
    <row r="45">
      <c r="A45" s="15">
        <f>HYPERLINK("https://www.google.com/search?q=A11927253+Miami+MLS+listing", "A11927253")</f>
        <v/>
      </c>
      <c r="B45" s="16" t="inlineStr">
        <is>
          <t>364 SW 11th St</t>
        </is>
      </c>
      <c r="C45" s="16" t="inlineStr">
        <is>
          <t>33130</t>
        </is>
      </c>
      <c r="D45" s="16" t="inlineStr">
        <is>
          <t>Miami-Dade County</t>
        </is>
      </c>
      <c r="E45" s="16" t="inlineStr">
        <is>
          <t>Fourplex</t>
        </is>
      </c>
      <c r="F45" s="17" t="n">
        <v>4</v>
      </c>
      <c r="G45" s="18" t="n">
        <v>3800000</v>
      </c>
      <c r="H45" s="18" t="n">
        <v>6700</v>
      </c>
      <c r="I45" s="19">
        <f>H45/G45</f>
        <v/>
      </c>
      <c r="J45" s="18">
        <f>H45*(1-Assumptions!$B$4)</f>
        <v/>
      </c>
      <c r="K45" s="20">
        <f>PMT(Assumptions!$B$2/12, 360, -G45*(1-Assumptions!$B$3))</f>
        <v/>
      </c>
      <c r="L45" s="20">
        <f>J45+K45</f>
        <v/>
      </c>
      <c r="M45" s="21">
        <f>IF(I45&gt;=0.01,50,IF(I45&gt;=0.0095,37,IF(I45&gt;=0.009,25,12)))</f>
        <v/>
      </c>
      <c r="N45" s="21">
        <f>IF(L45&gt;=2000,30,IF(L45&gt;=1000,20,IF(L45&gt;=500,10,5)))</f>
        <v/>
      </c>
      <c r="O45" s="21" t="n">
        <v>20</v>
      </c>
      <c r="P45" s="22">
        <f>M45+N45+O45</f>
        <v/>
      </c>
      <c r="Q45" s="16" t="inlineStr">
        <is>
          <t>A11927253</t>
        </is>
      </c>
      <c r="R45" s="16" t="inlineStr"/>
      <c r="S45" s="16" t="inlineStr"/>
    </row>
    <row r="46">
      <c r="A46" s="15">
        <f>HYPERLINK("https://www.google.com/search?q=A11972427+Miami+MLS+listing", "A11972427")</f>
        <v/>
      </c>
      <c r="B46" s="16" t="inlineStr">
        <is>
          <t>1490/1492 NW 38th St</t>
        </is>
      </c>
      <c r="C46" s="16" t="inlineStr">
        <is>
          <t>33142</t>
        </is>
      </c>
      <c r="D46" s="16" t="inlineStr">
        <is>
          <t>Miami-Dade County</t>
        </is>
      </c>
      <c r="E46" s="16" t="inlineStr">
        <is>
          <t>Duplex</t>
        </is>
      </c>
      <c r="F46" s="17" t="n">
        <v>2</v>
      </c>
      <c r="G46" s="18" t="n">
        <v>650000</v>
      </c>
      <c r="H46" s="18" t="n">
        <v>5200</v>
      </c>
      <c r="I46" s="19">
        <f>H46/G46</f>
        <v/>
      </c>
      <c r="J46" s="18">
        <f>H46*(1-Assumptions!$B$4)</f>
        <v/>
      </c>
      <c r="K46" s="20">
        <f>PMT(Assumptions!$B$2/12, 360, -G46*(1-Assumptions!$B$3))</f>
        <v/>
      </c>
      <c r="L46" s="20">
        <f>J46+K46</f>
        <v/>
      </c>
      <c r="M46" s="21">
        <f>IF(I46&gt;=0.01,50,IF(I46&gt;=0.0095,37,IF(I46&gt;=0.009,25,12)))</f>
        <v/>
      </c>
      <c r="N46" s="21">
        <f>IF(L46&gt;=2000,30,IF(L46&gt;=1000,20,IF(L46&gt;=500,10,5)))</f>
        <v/>
      </c>
      <c r="O46" s="21" t="n">
        <v>20</v>
      </c>
      <c r="P46" s="22">
        <f>M46+N46+O46</f>
        <v/>
      </c>
      <c r="Q46" s="16" t="inlineStr">
        <is>
          <t>A11972427</t>
        </is>
      </c>
      <c r="R46" s="16" t="inlineStr"/>
      <c r="S46" s="16" t="inlineStr"/>
    </row>
    <row r="47">
      <c r="A47" s="15">
        <f>HYPERLINK("https://www.google.com/search?q=A11879356+Miami+MLS+listing", "A11879356")</f>
        <v/>
      </c>
      <c r="B47" s="16" t="inlineStr">
        <is>
          <t>2915 SW 4th St</t>
        </is>
      </c>
      <c r="C47" s="16" t="inlineStr">
        <is>
          <t>33135</t>
        </is>
      </c>
      <c r="D47" s="16" t="inlineStr">
        <is>
          <t>Miami-Dade County</t>
        </is>
      </c>
      <c r="E47" s="16" t="inlineStr">
        <is>
          <t>Duplex</t>
        </is>
      </c>
      <c r="F47" s="17" t="n">
        <v>2</v>
      </c>
      <c r="G47" s="18" t="n">
        <v>915000</v>
      </c>
      <c r="H47" s="18" t="n">
        <v>5300</v>
      </c>
      <c r="I47" s="19">
        <f>H47/G47</f>
        <v/>
      </c>
      <c r="J47" s="18">
        <f>H47*(1-Assumptions!$B$4)</f>
        <v/>
      </c>
      <c r="K47" s="20">
        <f>PMT(Assumptions!$B$2/12, 360, -G47*(1-Assumptions!$B$3))</f>
        <v/>
      </c>
      <c r="L47" s="20">
        <f>J47+K47</f>
        <v/>
      </c>
      <c r="M47" s="21">
        <f>IF(I47&gt;=0.01,50,IF(I47&gt;=0.0095,37,IF(I47&gt;=0.009,25,12)))</f>
        <v/>
      </c>
      <c r="N47" s="21">
        <f>IF(L47&gt;=2000,30,IF(L47&gt;=1000,20,IF(L47&gt;=500,10,5)))</f>
        <v/>
      </c>
      <c r="O47" s="21" t="n">
        <v>20</v>
      </c>
      <c r="P47" s="22">
        <f>M47+N47+O47</f>
        <v/>
      </c>
      <c r="Q47" s="16" t="inlineStr">
        <is>
          <t>A11879356</t>
        </is>
      </c>
      <c r="R47" s="16" t="inlineStr"/>
      <c r="S47" s="16" t="inlineStr"/>
    </row>
    <row r="48">
      <c r="A48" s="15">
        <f>HYPERLINK("https://www.google.com/search?q=A11843123+Miami+MLS+listing", "A11843123")</f>
        <v/>
      </c>
      <c r="B48" s="16" t="inlineStr">
        <is>
          <t>2835 SW 37th Ct</t>
        </is>
      </c>
      <c r="C48" s="16" t="inlineStr">
        <is>
          <t>33145</t>
        </is>
      </c>
      <c r="D48" s="16" t="inlineStr">
        <is>
          <t>Miami-Dade County</t>
        </is>
      </c>
      <c r="E48" s="16" t="inlineStr">
        <is>
          <t>Triplex</t>
        </is>
      </c>
      <c r="F48" s="17" t="n">
        <v>3</v>
      </c>
      <c r="G48" s="18" t="n">
        <v>845000</v>
      </c>
      <c r="H48" s="18" t="n">
        <v>6350</v>
      </c>
      <c r="I48" s="19">
        <f>H48/G48</f>
        <v/>
      </c>
      <c r="J48" s="18">
        <f>H48*(1-Assumptions!$B$4)</f>
        <v/>
      </c>
      <c r="K48" s="20">
        <f>PMT(Assumptions!$B$2/12, 360, -G48*(1-Assumptions!$B$3))</f>
        <v/>
      </c>
      <c r="L48" s="20">
        <f>J48+K48</f>
        <v/>
      </c>
      <c r="M48" s="21">
        <f>IF(I48&gt;=0.01,50,IF(I48&gt;=0.0095,37,IF(I48&gt;=0.009,25,12)))</f>
        <v/>
      </c>
      <c r="N48" s="21">
        <f>IF(L48&gt;=2000,30,IF(L48&gt;=1000,20,IF(L48&gt;=500,10,5)))</f>
        <v/>
      </c>
      <c r="O48" s="21" t="n">
        <v>20</v>
      </c>
      <c r="P48" s="22">
        <f>M48+N48+O48</f>
        <v/>
      </c>
      <c r="Q48" s="16" t="inlineStr">
        <is>
          <t>A11843123</t>
        </is>
      </c>
      <c r="R48" s="16" t="inlineStr"/>
      <c r="S48" s="16" t="inlineStr"/>
    </row>
    <row r="49">
      <c r="A49" s="15">
        <f>HYPERLINK("https://www.google.com/search?q=A11970594+Miami+MLS+listing", "A11970594")</f>
        <v/>
      </c>
      <c r="B49" s="16" t="inlineStr">
        <is>
          <t>2433 NW 97th St</t>
        </is>
      </c>
      <c r="C49" s="16" t="inlineStr">
        <is>
          <t>33147</t>
        </is>
      </c>
      <c r="D49" s="16" t="inlineStr">
        <is>
          <t>Miami-Dade County</t>
        </is>
      </c>
      <c r="E49" s="16" t="inlineStr">
        <is>
          <t>Duplex</t>
        </is>
      </c>
      <c r="F49" s="17" t="n">
        <v>2</v>
      </c>
      <c r="G49" s="18" t="n">
        <v>724900</v>
      </c>
      <c r="H49" s="18" t="n">
        <v>5800</v>
      </c>
      <c r="I49" s="19">
        <f>H49/G49</f>
        <v/>
      </c>
      <c r="J49" s="18">
        <f>H49*(1-Assumptions!$B$4)</f>
        <v/>
      </c>
      <c r="K49" s="20">
        <f>PMT(Assumptions!$B$2/12, 360, -G49*(1-Assumptions!$B$3))</f>
        <v/>
      </c>
      <c r="L49" s="20">
        <f>J49+K49</f>
        <v/>
      </c>
      <c r="M49" s="21">
        <f>IF(I49&gt;=0.01,50,IF(I49&gt;=0.0095,37,IF(I49&gt;=0.009,25,12)))</f>
        <v/>
      </c>
      <c r="N49" s="21">
        <f>IF(L49&gt;=2000,30,IF(L49&gt;=1000,20,IF(L49&gt;=500,10,5)))</f>
        <v/>
      </c>
      <c r="O49" s="21" t="n">
        <v>20</v>
      </c>
      <c r="P49" s="22">
        <f>M49+N49+O49</f>
        <v/>
      </c>
      <c r="Q49" s="16" t="inlineStr">
        <is>
          <t>A11970594</t>
        </is>
      </c>
      <c r="R49" s="16" t="inlineStr"/>
      <c r="S49" s="16" t="inlineStr"/>
    </row>
    <row r="50">
      <c r="A50" s="15">
        <f>HYPERLINK("https://www.google.com/search?q=A11974830+Miami+MLS+listing", "A11974830")</f>
        <v/>
      </c>
      <c r="B50" s="16" t="inlineStr">
        <is>
          <t>101 NW 68th Ter</t>
        </is>
      </c>
      <c r="C50" s="16" t="inlineStr">
        <is>
          <t>33150</t>
        </is>
      </c>
      <c r="D50" s="16" t="inlineStr">
        <is>
          <t>Miami-Dade County</t>
        </is>
      </c>
      <c r="E50" s="16" t="inlineStr">
        <is>
          <t>Duplex</t>
        </is>
      </c>
      <c r="F50" s="17" t="n">
        <v>2</v>
      </c>
      <c r="G50" s="18" t="n">
        <v>1050000</v>
      </c>
      <c r="H50" s="18" t="n">
        <v>6400</v>
      </c>
      <c r="I50" s="19">
        <f>H50/G50</f>
        <v/>
      </c>
      <c r="J50" s="18">
        <f>H50*(1-Assumptions!$B$4)</f>
        <v/>
      </c>
      <c r="K50" s="20">
        <f>PMT(Assumptions!$B$2/12, 360, -G50*(1-Assumptions!$B$3))</f>
        <v/>
      </c>
      <c r="L50" s="20">
        <f>J50+K50</f>
        <v/>
      </c>
      <c r="M50" s="21">
        <f>IF(I50&gt;=0.01,50,IF(I50&gt;=0.0095,37,IF(I50&gt;=0.009,25,12)))</f>
        <v/>
      </c>
      <c r="N50" s="21">
        <f>IF(L50&gt;=2000,30,IF(L50&gt;=1000,20,IF(L50&gt;=500,10,5)))</f>
        <v/>
      </c>
      <c r="O50" s="21" t="n">
        <v>20</v>
      </c>
      <c r="P50" s="22">
        <f>M50+N50+O50</f>
        <v/>
      </c>
      <c r="Q50" s="16" t="inlineStr">
        <is>
          <t>A11974830</t>
        </is>
      </c>
      <c r="R50" s="16" t="inlineStr"/>
      <c r="S50" s="16" t="inlineStr"/>
    </row>
    <row r="51">
      <c r="A51" s="15">
        <f>HYPERLINK("https://www.google.com/search?q=A11962134+Miami+MLS+listing", "A11962134")</f>
        <v/>
      </c>
      <c r="B51" s="16" t="inlineStr">
        <is>
          <t>2840-2842 NW 13th St</t>
        </is>
      </c>
      <c r="C51" s="16" t="inlineStr">
        <is>
          <t>33125</t>
        </is>
      </c>
      <c r="D51" s="16" t="inlineStr">
        <is>
          <t>Miami-Dade County</t>
        </is>
      </c>
      <c r="E51" s="16" t="inlineStr">
        <is>
          <t>Duplex</t>
        </is>
      </c>
      <c r="F51" s="17" t="n">
        <v>2</v>
      </c>
      <c r="G51" s="18" t="n">
        <v>1095000</v>
      </c>
      <c r="H51" s="18" t="n">
        <v>6300</v>
      </c>
      <c r="I51" s="19">
        <f>H51/G51</f>
        <v/>
      </c>
      <c r="J51" s="18">
        <f>H51*(1-Assumptions!$B$4)</f>
        <v/>
      </c>
      <c r="K51" s="20">
        <f>PMT(Assumptions!$B$2/12, 360, -G51*(1-Assumptions!$B$3))</f>
        <v/>
      </c>
      <c r="L51" s="20">
        <f>J51+K51</f>
        <v/>
      </c>
      <c r="M51" s="21">
        <f>IF(I51&gt;=0.01,50,IF(I51&gt;=0.0095,37,IF(I51&gt;=0.009,25,12)))</f>
        <v/>
      </c>
      <c r="N51" s="21">
        <f>IF(L51&gt;=2000,30,IF(L51&gt;=1000,20,IF(L51&gt;=500,10,5)))</f>
        <v/>
      </c>
      <c r="O51" s="21" t="n">
        <v>20</v>
      </c>
      <c r="P51" s="22">
        <f>M51+N51+O51</f>
        <v/>
      </c>
      <c r="Q51" s="16" t="inlineStr">
        <is>
          <t>A11962134</t>
        </is>
      </c>
      <c r="R51" s="16" t="inlineStr"/>
      <c r="S51" s="16" t="inlineStr"/>
    </row>
    <row r="52">
      <c r="A52" s="15">
        <f>HYPERLINK("https://www.google.com/search?q=A11940973+Miami+MLS+listing", "A11940973")</f>
        <v/>
      </c>
      <c r="B52" s="16" t="inlineStr">
        <is>
          <t>1230 NW 35th St</t>
        </is>
      </c>
      <c r="C52" s="16" t="inlineStr">
        <is>
          <t>33142</t>
        </is>
      </c>
      <c r="D52" s="16" t="inlineStr">
        <is>
          <t>Miami-Dade County</t>
        </is>
      </c>
      <c r="E52" s="16" t="inlineStr">
        <is>
          <t>Triplex</t>
        </is>
      </c>
      <c r="F52" s="17" t="n">
        <v>3</v>
      </c>
      <c r="G52" s="18" t="n">
        <v>710000</v>
      </c>
      <c r="H52" s="18" t="n">
        <v>6250</v>
      </c>
      <c r="I52" s="19">
        <f>H52/G52</f>
        <v/>
      </c>
      <c r="J52" s="18">
        <f>H52*(1-Assumptions!$B$4)</f>
        <v/>
      </c>
      <c r="K52" s="20">
        <f>PMT(Assumptions!$B$2/12, 360, -G52*(1-Assumptions!$B$3))</f>
        <v/>
      </c>
      <c r="L52" s="20">
        <f>J52+K52</f>
        <v/>
      </c>
      <c r="M52" s="21">
        <f>IF(I52&gt;=0.01,50,IF(I52&gt;=0.0095,37,IF(I52&gt;=0.009,25,12)))</f>
        <v/>
      </c>
      <c r="N52" s="21">
        <f>IF(L52&gt;=2000,30,IF(L52&gt;=1000,20,IF(L52&gt;=500,10,5)))</f>
        <v/>
      </c>
      <c r="O52" s="21" t="n">
        <v>20</v>
      </c>
      <c r="P52" s="22">
        <f>M52+N52+O52</f>
        <v/>
      </c>
      <c r="Q52" s="16" t="inlineStr">
        <is>
          <t>A11940973</t>
        </is>
      </c>
      <c r="R52" s="16" t="inlineStr"/>
      <c r="S52" s="16" t="inlineStr"/>
    </row>
    <row r="53">
      <c r="A53" s="15">
        <f>HYPERLINK("https://www.google.com/search?q=A11942087+Miami+MLS+listing", "A11942087")</f>
        <v/>
      </c>
      <c r="B53" s="16" t="inlineStr">
        <is>
          <t>16585 NE 3 AVE</t>
        </is>
      </c>
      <c r="C53" s="16" t="inlineStr">
        <is>
          <t>33162</t>
        </is>
      </c>
      <c r="D53" s="16" t="inlineStr">
        <is>
          <t>Miami-Dade County</t>
        </is>
      </c>
      <c r="E53" s="16" t="inlineStr">
        <is>
          <t>Fourplex</t>
        </is>
      </c>
      <c r="F53" s="17" t="n">
        <v>4</v>
      </c>
      <c r="G53" s="18" t="n">
        <v>2950000</v>
      </c>
      <c r="H53" s="18" t="n">
        <v>6200</v>
      </c>
      <c r="I53" s="19">
        <f>H53/G53</f>
        <v/>
      </c>
      <c r="J53" s="18">
        <f>H53*(1-Assumptions!$B$4)</f>
        <v/>
      </c>
      <c r="K53" s="20">
        <f>PMT(Assumptions!$B$2/12, 360, -G53*(1-Assumptions!$B$3))</f>
        <v/>
      </c>
      <c r="L53" s="20">
        <f>J53+K53</f>
        <v/>
      </c>
      <c r="M53" s="21">
        <f>IF(I53&gt;=0.01,50,IF(I53&gt;=0.0095,37,IF(I53&gt;=0.009,25,12)))</f>
        <v/>
      </c>
      <c r="N53" s="21">
        <f>IF(L53&gt;=2000,30,IF(L53&gt;=1000,20,IF(L53&gt;=500,10,5)))</f>
        <v/>
      </c>
      <c r="O53" s="21" t="n">
        <v>20</v>
      </c>
      <c r="P53" s="22">
        <f>M53+N53+O53</f>
        <v/>
      </c>
      <c r="Q53" s="16" t="inlineStr">
        <is>
          <t>A11942087</t>
        </is>
      </c>
      <c r="R53" s="16" t="inlineStr"/>
      <c r="S53" s="16" t="inlineStr"/>
    </row>
    <row r="54">
      <c r="A54" s="15">
        <f>HYPERLINK("https://www.google.com/search?q=A11674866+Miami+MLS+listing", "A11674866")</f>
        <v/>
      </c>
      <c r="B54" s="16" t="inlineStr">
        <is>
          <t>242 NE 55th Ter</t>
        </is>
      </c>
      <c r="C54" s="16" t="inlineStr">
        <is>
          <t>33137</t>
        </is>
      </c>
      <c r="D54" s="16" t="inlineStr">
        <is>
          <t>Miami-Dade County</t>
        </is>
      </c>
      <c r="E54" s="16" t="inlineStr">
        <is>
          <t>Duplex</t>
        </is>
      </c>
      <c r="F54" s="17" t="n">
        <v>2</v>
      </c>
      <c r="G54" s="18" t="n">
        <v>1240000</v>
      </c>
      <c r="H54" s="18" t="n">
        <v>6400</v>
      </c>
      <c r="I54" s="19">
        <f>H54/G54</f>
        <v/>
      </c>
      <c r="J54" s="18">
        <f>H54*(1-Assumptions!$B$4)</f>
        <v/>
      </c>
      <c r="K54" s="20">
        <f>PMT(Assumptions!$B$2/12, 360, -G54*(1-Assumptions!$B$3))</f>
        <v/>
      </c>
      <c r="L54" s="20">
        <f>J54+K54</f>
        <v/>
      </c>
      <c r="M54" s="21">
        <f>IF(I54&gt;=0.01,50,IF(I54&gt;=0.0095,37,IF(I54&gt;=0.009,25,12)))</f>
        <v/>
      </c>
      <c r="N54" s="21">
        <f>IF(L54&gt;=2000,30,IF(L54&gt;=1000,20,IF(L54&gt;=500,10,5)))</f>
        <v/>
      </c>
      <c r="O54" s="21" t="n">
        <v>20</v>
      </c>
      <c r="P54" s="22">
        <f>M54+N54+O54</f>
        <v/>
      </c>
      <c r="Q54" s="16" t="inlineStr">
        <is>
          <t>A11674866</t>
        </is>
      </c>
      <c r="R54" s="16" t="inlineStr"/>
      <c r="S54" s="16" t="inlineStr"/>
    </row>
    <row r="55">
      <c r="A55" s="15">
        <f>HYPERLINK("https://www.google.com/search?q=A11946382+Miami+MLS+listing", "A11946382")</f>
        <v/>
      </c>
      <c r="B55" s="16" t="inlineStr">
        <is>
          <t>2275 SW 61st Ave</t>
        </is>
      </c>
      <c r="C55" s="16" t="inlineStr">
        <is>
          <t>33155</t>
        </is>
      </c>
      <c r="D55" s="16" t="inlineStr">
        <is>
          <t>Miami-Dade County</t>
        </is>
      </c>
      <c r="E55" s="16" t="inlineStr">
        <is>
          <t>Duplex</t>
        </is>
      </c>
      <c r="F55" s="17" t="n">
        <v>2</v>
      </c>
      <c r="G55" s="18" t="n">
        <v>1150000</v>
      </c>
      <c r="H55" s="18" t="n">
        <v>6200</v>
      </c>
      <c r="I55" s="19">
        <f>H55/G55</f>
        <v/>
      </c>
      <c r="J55" s="18">
        <f>H55*(1-Assumptions!$B$4)</f>
        <v/>
      </c>
      <c r="K55" s="20">
        <f>PMT(Assumptions!$B$2/12, 360, -G55*(1-Assumptions!$B$3))</f>
        <v/>
      </c>
      <c r="L55" s="20">
        <f>J55+K55</f>
        <v/>
      </c>
      <c r="M55" s="21">
        <f>IF(I55&gt;=0.01,50,IF(I55&gt;=0.0095,37,IF(I55&gt;=0.009,25,12)))</f>
        <v/>
      </c>
      <c r="N55" s="21">
        <f>IF(L55&gt;=2000,30,IF(L55&gt;=1000,20,IF(L55&gt;=500,10,5)))</f>
        <v/>
      </c>
      <c r="O55" s="21" t="n">
        <v>20</v>
      </c>
      <c r="P55" s="22">
        <f>M55+N55+O55</f>
        <v/>
      </c>
      <c r="Q55" s="16" t="inlineStr">
        <is>
          <t>A11946382</t>
        </is>
      </c>
      <c r="R55" s="16" t="inlineStr"/>
      <c r="S55" s="16" t="inlineStr"/>
    </row>
    <row r="56">
      <c r="A56" s="15">
        <f>HYPERLINK("https://www.google.com/search?q=A11928955+Miami+MLS+listing", "A11928955")</f>
        <v/>
      </c>
      <c r="B56" s="16" t="inlineStr">
        <is>
          <t>1910 NW 72nd St</t>
        </is>
      </c>
      <c r="C56" s="16" t="inlineStr">
        <is>
          <t>33147</t>
        </is>
      </c>
      <c r="D56" s="16" t="inlineStr">
        <is>
          <t>Miami-Dade County</t>
        </is>
      </c>
      <c r="E56" s="16" t="inlineStr">
        <is>
          <t>Fourplex</t>
        </is>
      </c>
      <c r="F56" s="17" t="n">
        <v>4</v>
      </c>
      <c r="G56" s="18" t="n">
        <v>1125000</v>
      </c>
      <c r="H56" s="18" t="n">
        <v>6139</v>
      </c>
      <c r="I56" s="19">
        <f>H56/G56</f>
        <v/>
      </c>
      <c r="J56" s="18">
        <f>H56*(1-Assumptions!$B$4)</f>
        <v/>
      </c>
      <c r="K56" s="20">
        <f>PMT(Assumptions!$B$2/12, 360, -G56*(1-Assumptions!$B$3))</f>
        <v/>
      </c>
      <c r="L56" s="20">
        <f>J56+K56</f>
        <v/>
      </c>
      <c r="M56" s="21">
        <f>IF(I56&gt;=0.01,50,IF(I56&gt;=0.0095,37,IF(I56&gt;=0.009,25,12)))</f>
        <v/>
      </c>
      <c r="N56" s="21">
        <f>IF(L56&gt;=2000,30,IF(L56&gt;=1000,20,IF(L56&gt;=500,10,5)))</f>
        <v/>
      </c>
      <c r="O56" s="21" t="n">
        <v>20</v>
      </c>
      <c r="P56" s="22">
        <f>M56+N56+O56</f>
        <v/>
      </c>
      <c r="Q56" s="16" t="inlineStr">
        <is>
          <t>A11928955</t>
        </is>
      </c>
      <c r="R56" s="16" t="inlineStr"/>
      <c r="S56" s="16" t="inlineStr"/>
    </row>
    <row r="57">
      <c r="A57" s="15">
        <f>HYPERLINK("https://www.google.com/search?q=A11912831+Miami+MLS+listing", "A11912831")</f>
        <v/>
      </c>
      <c r="B57" s="16" t="inlineStr">
        <is>
          <t>163 NW 68th Ter</t>
        </is>
      </c>
      <c r="C57" s="16" t="inlineStr">
        <is>
          <t>33150</t>
        </is>
      </c>
      <c r="D57" s="16" t="inlineStr">
        <is>
          <t>Miami-Dade County</t>
        </is>
      </c>
      <c r="E57" s="16" t="inlineStr">
        <is>
          <t>Duplex</t>
        </is>
      </c>
      <c r="F57" s="17" t="n">
        <v>2</v>
      </c>
      <c r="G57" s="18" t="n">
        <v>800000</v>
      </c>
      <c r="H57" s="18" t="n">
        <v>6100</v>
      </c>
      <c r="I57" s="19">
        <f>H57/G57</f>
        <v/>
      </c>
      <c r="J57" s="18">
        <f>H57*(1-Assumptions!$B$4)</f>
        <v/>
      </c>
      <c r="K57" s="20">
        <f>PMT(Assumptions!$B$2/12, 360, -G57*(1-Assumptions!$B$3))</f>
        <v/>
      </c>
      <c r="L57" s="20">
        <f>J57+K57</f>
        <v/>
      </c>
      <c r="M57" s="21">
        <f>IF(I57&gt;=0.01,50,IF(I57&gt;=0.0095,37,IF(I57&gt;=0.009,25,12)))</f>
        <v/>
      </c>
      <c r="N57" s="21">
        <f>IF(L57&gt;=2000,30,IF(L57&gt;=1000,20,IF(L57&gt;=500,10,5)))</f>
        <v/>
      </c>
      <c r="O57" s="21" t="n">
        <v>20</v>
      </c>
      <c r="P57" s="22">
        <f>M57+N57+O57</f>
        <v/>
      </c>
      <c r="Q57" s="16" t="inlineStr">
        <is>
          <t>A11912831</t>
        </is>
      </c>
      <c r="R57" s="16" t="inlineStr"/>
      <c r="S57" s="16" t="inlineStr"/>
    </row>
    <row r="58">
      <c r="A58" s="15">
        <f>HYPERLINK("https://www.google.com/search?q=A11841532+Miami+MLS+listing", "A11841532")</f>
        <v/>
      </c>
      <c r="B58" s="16" t="inlineStr">
        <is>
          <t>2121-2125 NW 72nd st</t>
        </is>
      </c>
      <c r="C58" s="16" t="inlineStr">
        <is>
          <t>33147</t>
        </is>
      </c>
      <c r="D58" s="16" t="inlineStr">
        <is>
          <t>Miami-Dade County</t>
        </is>
      </c>
      <c r="E58" s="16" t="inlineStr">
        <is>
          <t>Duplex</t>
        </is>
      </c>
      <c r="F58" s="17" t="n">
        <v>2</v>
      </c>
      <c r="G58" s="18" t="n">
        <v>719000</v>
      </c>
      <c r="H58" s="18" t="n">
        <v>6000</v>
      </c>
      <c r="I58" s="19">
        <f>H58/G58</f>
        <v/>
      </c>
      <c r="J58" s="18">
        <f>H58*(1-Assumptions!$B$4)</f>
        <v/>
      </c>
      <c r="K58" s="20">
        <f>PMT(Assumptions!$B$2/12, 360, -G58*(1-Assumptions!$B$3))</f>
        <v/>
      </c>
      <c r="L58" s="20">
        <f>J58+K58</f>
        <v/>
      </c>
      <c r="M58" s="21">
        <f>IF(I58&gt;=0.01,50,IF(I58&gt;=0.0095,37,IF(I58&gt;=0.009,25,12)))</f>
        <v/>
      </c>
      <c r="N58" s="21">
        <f>IF(L58&gt;=2000,30,IF(L58&gt;=1000,20,IF(L58&gt;=500,10,5)))</f>
        <v/>
      </c>
      <c r="O58" s="21" t="n">
        <v>20</v>
      </c>
      <c r="P58" s="22">
        <f>M58+N58+O58</f>
        <v/>
      </c>
      <c r="Q58" s="16" t="inlineStr">
        <is>
          <t>A11841532</t>
        </is>
      </c>
      <c r="R58" s="16" t="inlineStr"/>
      <c r="S58" s="16" t="inlineStr"/>
    </row>
    <row r="59">
      <c r="A59" s="15">
        <f>HYPERLINK("https://www.google.com/search?q=A11954020+Miami+MLS+listing", "A11954020")</f>
        <v/>
      </c>
      <c r="B59" s="16" t="inlineStr">
        <is>
          <t>11515 NE 12th Ave</t>
        </is>
      </c>
      <c r="C59" s="16" t="inlineStr">
        <is>
          <t>33161</t>
        </is>
      </c>
      <c r="D59" s="16" t="inlineStr">
        <is>
          <t>Miami-Dade County</t>
        </is>
      </c>
      <c r="E59" s="16" t="inlineStr">
        <is>
          <t>Duplex</t>
        </is>
      </c>
      <c r="F59" s="17" t="n">
        <v>2</v>
      </c>
      <c r="G59" s="18" t="n">
        <v>880000</v>
      </c>
      <c r="H59" s="18" t="n">
        <v>5900</v>
      </c>
      <c r="I59" s="19">
        <f>H59/G59</f>
        <v/>
      </c>
      <c r="J59" s="18">
        <f>H59*(1-Assumptions!$B$4)</f>
        <v/>
      </c>
      <c r="K59" s="20">
        <f>PMT(Assumptions!$B$2/12, 360, -G59*(1-Assumptions!$B$3))</f>
        <v/>
      </c>
      <c r="L59" s="20">
        <f>J59+K59</f>
        <v/>
      </c>
      <c r="M59" s="21">
        <f>IF(I59&gt;=0.01,50,IF(I59&gt;=0.0095,37,IF(I59&gt;=0.009,25,12)))</f>
        <v/>
      </c>
      <c r="N59" s="21">
        <f>IF(L59&gt;=2000,30,IF(L59&gt;=1000,20,IF(L59&gt;=500,10,5)))</f>
        <v/>
      </c>
      <c r="O59" s="21" t="n">
        <v>20</v>
      </c>
      <c r="P59" s="22">
        <f>M59+N59+O59</f>
        <v/>
      </c>
      <c r="Q59" s="16" t="inlineStr">
        <is>
          <t>A11954020</t>
        </is>
      </c>
      <c r="R59" s="16" t="inlineStr"/>
      <c r="S59" s="16" t="inlineStr"/>
    </row>
    <row r="60">
      <c r="A60" s="15">
        <f>HYPERLINK("https://www.google.com/search?q=A11883153+Miami+MLS+listing", "A11883153")</f>
        <v/>
      </c>
      <c r="B60" s="16" t="inlineStr">
        <is>
          <t>1410 SW 22nd Ave</t>
        </is>
      </c>
      <c r="C60" s="16" t="inlineStr">
        <is>
          <t>33145</t>
        </is>
      </c>
      <c r="D60" s="16" t="inlineStr">
        <is>
          <t>Miami-Dade County</t>
        </is>
      </c>
      <c r="E60" s="16" t="inlineStr">
        <is>
          <t>Duplex</t>
        </is>
      </c>
      <c r="F60" s="17" t="n">
        <v>2</v>
      </c>
      <c r="G60" s="18" t="n">
        <v>750000</v>
      </c>
      <c r="H60" s="18" t="n">
        <v>5900</v>
      </c>
      <c r="I60" s="19">
        <f>H60/G60</f>
        <v/>
      </c>
      <c r="J60" s="18">
        <f>H60*(1-Assumptions!$B$4)</f>
        <v/>
      </c>
      <c r="K60" s="20">
        <f>PMT(Assumptions!$B$2/12, 360, -G60*(1-Assumptions!$B$3))</f>
        <v/>
      </c>
      <c r="L60" s="20">
        <f>J60+K60</f>
        <v/>
      </c>
      <c r="M60" s="21">
        <f>IF(I60&gt;=0.01,50,IF(I60&gt;=0.0095,37,IF(I60&gt;=0.009,25,12)))</f>
        <v/>
      </c>
      <c r="N60" s="21">
        <f>IF(L60&gt;=2000,30,IF(L60&gt;=1000,20,IF(L60&gt;=500,10,5)))</f>
        <v/>
      </c>
      <c r="O60" s="21" t="n">
        <v>20</v>
      </c>
      <c r="P60" s="22">
        <f>M60+N60+O60</f>
        <v/>
      </c>
      <c r="Q60" s="16" t="inlineStr">
        <is>
          <t>A11883153</t>
        </is>
      </c>
      <c r="R60" s="16" t="inlineStr"/>
      <c r="S60" s="16" t="inlineStr"/>
    </row>
    <row r="61">
      <c r="A61" s="15">
        <f>HYPERLINK("https://www.google.com/search?q=A11953583+Miami+MLS+listing", "A11953583")</f>
        <v/>
      </c>
      <c r="B61" s="16" t="inlineStr">
        <is>
          <t>2722 SW 5th St</t>
        </is>
      </c>
      <c r="C61" s="16" t="inlineStr">
        <is>
          <t>33135</t>
        </is>
      </c>
      <c r="D61" s="16" t="inlineStr">
        <is>
          <t>Miami-Dade County</t>
        </is>
      </c>
      <c r="E61" s="16" t="inlineStr">
        <is>
          <t>Duplex</t>
        </is>
      </c>
      <c r="F61" s="17" t="n">
        <v>2</v>
      </c>
      <c r="G61" s="18" t="n">
        <v>935000</v>
      </c>
      <c r="H61" s="18" t="n">
        <v>5900</v>
      </c>
      <c r="I61" s="19">
        <f>H61/G61</f>
        <v/>
      </c>
      <c r="J61" s="18">
        <f>H61*(1-Assumptions!$B$4)</f>
        <v/>
      </c>
      <c r="K61" s="20">
        <f>PMT(Assumptions!$B$2/12, 360, -G61*(1-Assumptions!$B$3))</f>
        <v/>
      </c>
      <c r="L61" s="20">
        <f>J61+K61</f>
        <v/>
      </c>
      <c r="M61" s="21">
        <f>IF(I61&gt;=0.01,50,IF(I61&gt;=0.0095,37,IF(I61&gt;=0.009,25,12)))</f>
        <v/>
      </c>
      <c r="N61" s="21">
        <f>IF(L61&gt;=2000,30,IF(L61&gt;=1000,20,IF(L61&gt;=500,10,5)))</f>
        <v/>
      </c>
      <c r="O61" s="21" t="n">
        <v>20</v>
      </c>
      <c r="P61" s="22">
        <f>M61+N61+O61</f>
        <v/>
      </c>
      <c r="Q61" s="16" t="inlineStr">
        <is>
          <t>A11953583</t>
        </is>
      </c>
      <c r="R61" s="16" t="inlineStr"/>
      <c r="S61" s="16" t="inlineStr"/>
    </row>
    <row r="62">
      <c r="A62" s="15">
        <f>HYPERLINK("https://www.google.com/search?q=A11763668+Miami+MLS+listing", "A11763668")</f>
        <v/>
      </c>
      <c r="B62" s="16" t="inlineStr">
        <is>
          <t>929 SW 12th Ave</t>
        </is>
      </c>
      <c r="C62" s="16" t="inlineStr">
        <is>
          <t>33130</t>
        </is>
      </c>
      <c r="D62" s="16" t="inlineStr">
        <is>
          <t>Miami-Dade County</t>
        </is>
      </c>
      <c r="E62" s="16" t="inlineStr">
        <is>
          <t>Duplex</t>
        </is>
      </c>
      <c r="F62" s="17" t="n">
        <v>2</v>
      </c>
      <c r="G62" s="18" t="n">
        <v>899000</v>
      </c>
      <c r="H62" s="18" t="n">
        <v>5850</v>
      </c>
      <c r="I62" s="19">
        <f>H62/G62</f>
        <v/>
      </c>
      <c r="J62" s="18">
        <f>H62*(1-Assumptions!$B$4)</f>
        <v/>
      </c>
      <c r="K62" s="20">
        <f>PMT(Assumptions!$B$2/12, 360, -G62*(1-Assumptions!$B$3))</f>
        <v/>
      </c>
      <c r="L62" s="20">
        <f>J62+K62</f>
        <v/>
      </c>
      <c r="M62" s="21">
        <f>IF(I62&gt;=0.01,50,IF(I62&gt;=0.0095,37,IF(I62&gt;=0.009,25,12)))</f>
        <v/>
      </c>
      <c r="N62" s="21">
        <f>IF(L62&gt;=2000,30,IF(L62&gt;=1000,20,IF(L62&gt;=500,10,5)))</f>
        <v/>
      </c>
      <c r="O62" s="21" t="n">
        <v>20</v>
      </c>
      <c r="P62" s="22">
        <f>M62+N62+O62</f>
        <v/>
      </c>
      <c r="Q62" s="16" t="inlineStr">
        <is>
          <t>A11763668</t>
        </is>
      </c>
      <c r="R62" s="16" t="inlineStr"/>
      <c r="S62" s="16" t="inlineStr"/>
    </row>
    <row r="63">
      <c r="A63" s="15">
        <f>HYPERLINK("https://www.google.com/search?q=A11972374+Miami+MLS+listing", "A11972374")</f>
        <v/>
      </c>
      <c r="B63" s="16" t="inlineStr">
        <is>
          <t>11020 NE 10th Ave</t>
        </is>
      </c>
      <c r="C63" s="16" t="inlineStr">
        <is>
          <t>33161</t>
        </is>
      </c>
      <c r="D63" s="16" t="inlineStr">
        <is>
          <t>Miami-Dade County</t>
        </is>
      </c>
      <c r="E63" s="16" t="inlineStr">
        <is>
          <t>Duplex</t>
        </is>
      </c>
      <c r="F63" s="17" t="n">
        <v>2</v>
      </c>
      <c r="G63" s="18" t="n">
        <v>860000</v>
      </c>
      <c r="H63" s="18" t="n">
        <v>5600</v>
      </c>
      <c r="I63" s="19">
        <f>H63/G63</f>
        <v/>
      </c>
      <c r="J63" s="18">
        <f>H63*(1-Assumptions!$B$4)</f>
        <v/>
      </c>
      <c r="K63" s="20">
        <f>PMT(Assumptions!$B$2/12, 360, -G63*(1-Assumptions!$B$3))</f>
        <v/>
      </c>
      <c r="L63" s="20">
        <f>J63+K63</f>
        <v/>
      </c>
      <c r="M63" s="21">
        <f>IF(I63&gt;=0.01,50,IF(I63&gt;=0.0095,37,IF(I63&gt;=0.009,25,12)))</f>
        <v/>
      </c>
      <c r="N63" s="21">
        <f>IF(L63&gt;=2000,30,IF(L63&gt;=1000,20,IF(L63&gt;=500,10,5)))</f>
        <v/>
      </c>
      <c r="O63" s="21" t="n">
        <v>20</v>
      </c>
      <c r="P63" s="22">
        <f>M63+N63+O63</f>
        <v/>
      </c>
      <c r="Q63" s="16" t="inlineStr">
        <is>
          <t>A11972374</t>
        </is>
      </c>
      <c r="R63" s="16" t="inlineStr"/>
      <c r="S63" s="16" t="inlineStr"/>
    </row>
    <row r="64">
      <c r="A64" s="15">
        <f>HYPERLINK("https://www.google.com/search?q=A11704349+Miami+MLS+listing", "A11704349")</f>
        <v/>
      </c>
      <c r="B64" s="16" t="inlineStr">
        <is>
          <t>1838 NW 18th St</t>
        </is>
      </c>
      <c r="C64" s="16" t="inlineStr">
        <is>
          <t>33125</t>
        </is>
      </c>
      <c r="D64" s="16" t="inlineStr">
        <is>
          <t>Miami-Dade County</t>
        </is>
      </c>
      <c r="E64" s="16" t="inlineStr">
        <is>
          <t>Duplex</t>
        </is>
      </c>
      <c r="F64" s="17" t="n">
        <v>2</v>
      </c>
      <c r="G64" s="18" t="n">
        <v>715000</v>
      </c>
      <c r="H64" s="18" t="n">
        <v>5300</v>
      </c>
      <c r="I64" s="19">
        <f>H64/G64</f>
        <v/>
      </c>
      <c r="J64" s="18">
        <f>H64*(1-Assumptions!$B$4)</f>
        <v/>
      </c>
      <c r="K64" s="20">
        <f>PMT(Assumptions!$B$2/12, 360, -G64*(1-Assumptions!$B$3))</f>
        <v/>
      </c>
      <c r="L64" s="20">
        <f>J64+K64</f>
        <v/>
      </c>
      <c r="M64" s="21">
        <f>IF(I64&gt;=0.01,50,IF(I64&gt;=0.0095,37,IF(I64&gt;=0.009,25,12)))</f>
        <v/>
      </c>
      <c r="N64" s="21">
        <f>IF(L64&gt;=2000,30,IF(L64&gt;=1000,20,IF(L64&gt;=500,10,5)))</f>
        <v/>
      </c>
      <c r="O64" s="21" t="n">
        <v>20</v>
      </c>
      <c r="P64" s="22">
        <f>M64+N64+O64</f>
        <v/>
      </c>
      <c r="Q64" s="16" t="inlineStr">
        <is>
          <t>A11704349</t>
        </is>
      </c>
      <c r="R64" s="16" t="inlineStr"/>
      <c r="S64" s="16" t="inlineStr"/>
    </row>
    <row r="65">
      <c r="A65" s="15">
        <f>HYPERLINK("https://www.google.com/search?q=A11933410+Miami+MLS+listing", "A11933410")</f>
        <v/>
      </c>
      <c r="B65" s="16" t="inlineStr">
        <is>
          <t>9210 NW 4th Ave</t>
        </is>
      </c>
      <c r="C65" s="16" t="inlineStr">
        <is>
          <t>33150</t>
        </is>
      </c>
      <c r="D65" s="16" t="inlineStr">
        <is>
          <t>Miami-Dade County</t>
        </is>
      </c>
      <c r="E65" s="16" t="inlineStr">
        <is>
          <t>Duplex</t>
        </is>
      </c>
      <c r="F65" s="17" t="n">
        <v>2</v>
      </c>
      <c r="G65" s="18" t="n">
        <v>749000</v>
      </c>
      <c r="H65" s="18" t="n">
        <v>5600</v>
      </c>
      <c r="I65" s="19">
        <f>H65/G65</f>
        <v/>
      </c>
      <c r="J65" s="18">
        <f>H65*(1-Assumptions!$B$4)</f>
        <v/>
      </c>
      <c r="K65" s="20">
        <f>PMT(Assumptions!$B$2/12, 360, -G65*(1-Assumptions!$B$3))</f>
        <v/>
      </c>
      <c r="L65" s="20">
        <f>J65+K65</f>
        <v/>
      </c>
      <c r="M65" s="21">
        <f>IF(I65&gt;=0.01,50,IF(I65&gt;=0.0095,37,IF(I65&gt;=0.009,25,12)))</f>
        <v/>
      </c>
      <c r="N65" s="21">
        <f>IF(L65&gt;=2000,30,IF(L65&gt;=1000,20,IF(L65&gt;=500,10,5)))</f>
        <v/>
      </c>
      <c r="O65" s="21" t="n">
        <v>20</v>
      </c>
      <c r="P65" s="22">
        <f>M65+N65+O65</f>
        <v/>
      </c>
      <c r="Q65" s="16" t="inlineStr">
        <is>
          <t>A11933410</t>
        </is>
      </c>
      <c r="R65" s="16" t="inlineStr"/>
      <c r="S65" s="16" t="inlineStr"/>
    </row>
    <row r="66">
      <c r="A66" s="15">
        <f>HYPERLINK("https://www.google.com/search?q=A11851454+Miami+MLS+listing", "A11851454")</f>
        <v/>
      </c>
      <c r="B66" s="16" t="inlineStr">
        <is>
          <t>3066 NW 92nd St</t>
        </is>
      </c>
      <c r="C66" s="16" t="inlineStr">
        <is>
          <t>33147</t>
        </is>
      </c>
      <c r="D66" s="16" t="inlineStr">
        <is>
          <t>Miami-Dade County</t>
        </is>
      </c>
      <c r="E66" s="16" t="inlineStr">
        <is>
          <t>Duplex</t>
        </is>
      </c>
      <c r="F66" s="17" t="n">
        <v>2</v>
      </c>
      <c r="G66" s="18" t="n">
        <v>850000</v>
      </c>
      <c r="H66" s="18" t="n">
        <v>5600</v>
      </c>
      <c r="I66" s="19">
        <f>H66/G66</f>
        <v/>
      </c>
      <c r="J66" s="18">
        <f>H66*(1-Assumptions!$B$4)</f>
        <v/>
      </c>
      <c r="K66" s="20">
        <f>PMT(Assumptions!$B$2/12, 360, -G66*(1-Assumptions!$B$3))</f>
        <v/>
      </c>
      <c r="L66" s="20">
        <f>J66+K66</f>
        <v/>
      </c>
      <c r="M66" s="21">
        <f>IF(I66&gt;=0.01,50,IF(I66&gt;=0.0095,37,IF(I66&gt;=0.009,25,12)))</f>
        <v/>
      </c>
      <c r="N66" s="21">
        <f>IF(L66&gt;=2000,30,IF(L66&gt;=1000,20,IF(L66&gt;=500,10,5)))</f>
        <v/>
      </c>
      <c r="O66" s="21" t="n">
        <v>20</v>
      </c>
      <c r="P66" s="22">
        <f>M66+N66+O66</f>
        <v/>
      </c>
      <c r="Q66" s="16" t="inlineStr">
        <is>
          <t>A11851454</t>
        </is>
      </c>
      <c r="R66" s="16" t="inlineStr"/>
      <c r="S66" s="16" t="inlineStr"/>
    </row>
    <row r="67">
      <c r="A67" s="15">
        <f>HYPERLINK("https://www.google.com/search?q=A11873091+Miami+MLS+listing", "A11873091")</f>
        <v/>
      </c>
      <c r="B67" s="16" t="inlineStr">
        <is>
          <t>180 NW 59th St</t>
        </is>
      </c>
      <c r="C67" s="16" t="inlineStr">
        <is>
          <t>33127</t>
        </is>
      </c>
      <c r="D67" s="16" t="inlineStr">
        <is>
          <t>Miami-Dade County</t>
        </is>
      </c>
      <c r="E67" s="16" t="inlineStr">
        <is>
          <t>Fourplex</t>
        </is>
      </c>
      <c r="F67" s="17" t="n">
        <v>4</v>
      </c>
      <c r="G67" s="18" t="n">
        <v>1300000</v>
      </c>
      <c r="H67" s="18" t="n">
        <v>5550</v>
      </c>
      <c r="I67" s="19">
        <f>H67/G67</f>
        <v/>
      </c>
      <c r="J67" s="18">
        <f>H67*(1-Assumptions!$B$4)</f>
        <v/>
      </c>
      <c r="K67" s="20">
        <f>PMT(Assumptions!$B$2/12, 360, -G67*(1-Assumptions!$B$3))</f>
        <v/>
      </c>
      <c r="L67" s="20">
        <f>J67+K67</f>
        <v/>
      </c>
      <c r="M67" s="21">
        <f>IF(I67&gt;=0.01,50,IF(I67&gt;=0.0095,37,IF(I67&gt;=0.009,25,12)))</f>
        <v/>
      </c>
      <c r="N67" s="21">
        <f>IF(L67&gt;=2000,30,IF(L67&gt;=1000,20,IF(L67&gt;=500,10,5)))</f>
        <v/>
      </c>
      <c r="O67" s="21" t="n">
        <v>20</v>
      </c>
      <c r="P67" s="22">
        <f>M67+N67+O67</f>
        <v/>
      </c>
      <c r="Q67" s="16" t="inlineStr">
        <is>
          <t>A11873091</t>
        </is>
      </c>
      <c r="R67" s="16" t="inlineStr"/>
      <c r="S67" s="16" t="inlineStr"/>
    </row>
    <row r="68">
      <c r="A68" s="15">
        <f>HYPERLINK("https://www.google.com/search?q=A11977960+Miami+MLS+listing", "A11977960")</f>
        <v/>
      </c>
      <c r="B68" s="16" t="inlineStr">
        <is>
          <t>12125 NE 7th Ave</t>
        </is>
      </c>
      <c r="C68" s="16" t="inlineStr">
        <is>
          <t>33161</t>
        </is>
      </c>
      <c r="D68" s="16" t="inlineStr">
        <is>
          <t>Miami-Dade County</t>
        </is>
      </c>
      <c r="E68" s="16" t="inlineStr">
        <is>
          <t>Duplex</t>
        </is>
      </c>
      <c r="F68" s="17" t="n">
        <v>2</v>
      </c>
      <c r="G68" s="18" t="n">
        <v>865000</v>
      </c>
      <c r="H68" s="18" t="n">
        <v>5500</v>
      </c>
      <c r="I68" s="19">
        <f>H68/G68</f>
        <v/>
      </c>
      <c r="J68" s="18">
        <f>H68*(1-Assumptions!$B$4)</f>
        <v/>
      </c>
      <c r="K68" s="20">
        <f>PMT(Assumptions!$B$2/12, 360, -G68*(1-Assumptions!$B$3))</f>
        <v/>
      </c>
      <c r="L68" s="20">
        <f>J68+K68</f>
        <v/>
      </c>
      <c r="M68" s="21">
        <f>IF(I68&gt;=0.01,50,IF(I68&gt;=0.0095,37,IF(I68&gt;=0.009,25,12)))</f>
        <v/>
      </c>
      <c r="N68" s="21">
        <f>IF(L68&gt;=2000,30,IF(L68&gt;=1000,20,IF(L68&gt;=500,10,5)))</f>
        <v/>
      </c>
      <c r="O68" s="21" t="n">
        <v>20</v>
      </c>
      <c r="P68" s="22">
        <f>M68+N68+O68</f>
        <v/>
      </c>
      <c r="Q68" s="16" t="inlineStr">
        <is>
          <t>A11977960</t>
        </is>
      </c>
      <c r="R68" s="16" t="inlineStr"/>
      <c r="S68" s="16" t="inlineStr"/>
    </row>
    <row r="69">
      <c r="A69" s="15">
        <f>HYPERLINK("https://www.google.com/search?q=A11617144+Miami+MLS+listing", "A11617144")</f>
        <v/>
      </c>
      <c r="B69" s="16" t="inlineStr">
        <is>
          <t>2752 SW 3rd St</t>
        </is>
      </c>
      <c r="C69" s="16" t="inlineStr">
        <is>
          <t>33135</t>
        </is>
      </c>
      <c r="D69" s="16" t="inlineStr">
        <is>
          <t>Miami-Dade County</t>
        </is>
      </c>
      <c r="E69" s="16" t="inlineStr">
        <is>
          <t>Duplex</t>
        </is>
      </c>
      <c r="F69" s="17" t="n">
        <v>2</v>
      </c>
      <c r="G69" s="18" t="n">
        <v>1094000</v>
      </c>
      <c r="H69" s="18" t="n">
        <v>5400</v>
      </c>
      <c r="I69" s="19">
        <f>H69/G69</f>
        <v/>
      </c>
      <c r="J69" s="18">
        <f>H69*(1-Assumptions!$B$4)</f>
        <v/>
      </c>
      <c r="K69" s="20">
        <f>PMT(Assumptions!$B$2/12, 360, -G69*(1-Assumptions!$B$3))</f>
        <v/>
      </c>
      <c r="L69" s="20">
        <f>J69+K69</f>
        <v/>
      </c>
      <c r="M69" s="21">
        <f>IF(I69&gt;=0.01,50,IF(I69&gt;=0.0095,37,IF(I69&gt;=0.009,25,12)))</f>
        <v/>
      </c>
      <c r="N69" s="21">
        <f>IF(L69&gt;=2000,30,IF(L69&gt;=1000,20,IF(L69&gt;=500,10,5)))</f>
        <v/>
      </c>
      <c r="O69" s="21" t="n">
        <v>20</v>
      </c>
      <c r="P69" s="22">
        <f>M69+N69+O69</f>
        <v/>
      </c>
      <c r="Q69" s="16" t="inlineStr">
        <is>
          <t>A11617144</t>
        </is>
      </c>
      <c r="R69" s="16" t="inlineStr"/>
      <c r="S69" s="16" t="inlineStr"/>
    </row>
    <row r="70">
      <c r="A70" s="15">
        <f>HYPERLINK("https://www.google.com/search?q=A11937947+Miami+MLS+listing", "A11937947")</f>
        <v/>
      </c>
      <c r="B70" s="16" t="inlineStr">
        <is>
          <t>310-312 SW 36th Ave</t>
        </is>
      </c>
      <c r="C70" s="16" t="inlineStr">
        <is>
          <t>33135</t>
        </is>
      </c>
      <c r="D70" s="16" t="inlineStr">
        <is>
          <t>Miami-Dade County</t>
        </is>
      </c>
      <c r="E70" s="16" t="inlineStr">
        <is>
          <t>Duplex</t>
        </is>
      </c>
      <c r="F70" s="17" t="n">
        <v>2</v>
      </c>
      <c r="G70" s="18" t="n">
        <v>960000</v>
      </c>
      <c r="H70" s="18" t="n">
        <v>5400</v>
      </c>
      <c r="I70" s="19">
        <f>H70/G70</f>
        <v/>
      </c>
      <c r="J70" s="18">
        <f>H70*(1-Assumptions!$B$4)</f>
        <v/>
      </c>
      <c r="K70" s="20">
        <f>PMT(Assumptions!$B$2/12, 360, -G70*(1-Assumptions!$B$3))</f>
        <v/>
      </c>
      <c r="L70" s="20">
        <f>J70+K70</f>
        <v/>
      </c>
      <c r="M70" s="21">
        <f>IF(I70&gt;=0.01,50,IF(I70&gt;=0.0095,37,IF(I70&gt;=0.009,25,12)))</f>
        <v/>
      </c>
      <c r="N70" s="21">
        <f>IF(L70&gt;=2000,30,IF(L70&gt;=1000,20,IF(L70&gt;=500,10,5)))</f>
        <v/>
      </c>
      <c r="O70" s="21" t="n">
        <v>20</v>
      </c>
      <c r="P70" s="22">
        <f>M70+N70+O70</f>
        <v/>
      </c>
      <c r="Q70" s="16" t="inlineStr">
        <is>
          <t>A11937947</t>
        </is>
      </c>
      <c r="R70" s="16" t="inlineStr"/>
      <c r="S70" s="16" t="inlineStr"/>
    </row>
    <row r="71">
      <c r="A71" s="15">
        <f>HYPERLINK("https://www.google.com/search?q=A11943316+Miami+MLS+listing", "A11943316")</f>
        <v/>
      </c>
      <c r="B71" s="16" t="inlineStr">
        <is>
          <t>16915 NE 4th Ave</t>
        </is>
      </c>
      <c r="C71" s="16" t="inlineStr">
        <is>
          <t>33162</t>
        </is>
      </c>
      <c r="D71" s="16" t="inlineStr">
        <is>
          <t>Miami-Dade County</t>
        </is>
      </c>
      <c r="E71" s="16" t="inlineStr">
        <is>
          <t>Duplex</t>
        </is>
      </c>
      <c r="F71" s="17" t="n">
        <v>2</v>
      </c>
      <c r="G71" s="18" t="n">
        <v>759000</v>
      </c>
      <c r="H71" s="18" t="n">
        <v>5400</v>
      </c>
      <c r="I71" s="19">
        <f>H71/G71</f>
        <v/>
      </c>
      <c r="J71" s="18">
        <f>H71*(1-Assumptions!$B$4)</f>
        <v/>
      </c>
      <c r="K71" s="20">
        <f>PMT(Assumptions!$B$2/12, 360, -G71*(1-Assumptions!$B$3))</f>
        <v/>
      </c>
      <c r="L71" s="20">
        <f>J71+K71</f>
        <v/>
      </c>
      <c r="M71" s="21">
        <f>IF(I71&gt;=0.01,50,IF(I71&gt;=0.0095,37,IF(I71&gt;=0.009,25,12)))</f>
        <v/>
      </c>
      <c r="N71" s="21">
        <f>IF(L71&gt;=2000,30,IF(L71&gt;=1000,20,IF(L71&gt;=500,10,5)))</f>
        <v/>
      </c>
      <c r="O71" s="21" t="n">
        <v>20</v>
      </c>
      <c r="P71" s="22">
        <f>M71+N71+O71</f>
        <v/>
      </c>
      <c r="Q71" s="16" t="inlineStr">
        <is>
          <t>A11943316</t>
        </is>
      </c>
      <c r="R71" s="16" t="inlineStr"/>
      <c r="S71" s="16" t="inlineStr"/>
    </row>
    <row r="72">
      <c r="A72" s="15">
        <f>HYPERLINK("https://www.google.com/search?q=A11940950+Miami+MLS+listing", "A11940950")</f>
        <v/>
      </c>
      <c r="B72" s="16" t="inlineStr">
        <is>
          <t>5800 NE 3rd Ave</t>
        </is>
      </c>
      <c r="C72" s="16" t="inlineStr">
        <is>
          <t>33137</t>
        </is>
      </c>
      <c r="D72" s="16" t="inlineStr">
        <is>
          <t>Miami-Dade County</t>
        </is>
      </c>
      <c r="E72" s="16" t="inlineStr">
        <is>
          <t>Duplex</t>
        </is>
      </c>
      <c r="F72" s="17" t="n">
        <v>2</v>
      </c>
      <c r="G72" s="18" t="n">
        <v>799000</v>
      </c>
      <c r="H72" s="18" t="n">
        <v>4600</v>
      </c>
      <c r="I72" s="19">
        <f>H72/G72</f>
        <v/>
      </c>
      <c r="J72" s="18">
        <f>H72*(1-Assumptions!$B$4)</f>
        <v/>
      </c>
      <c r="K72" s="20">
        <f>PMT(Assumptions!$B$2/12, 360, -G72*(1-Assumptions!$B$3))</f>
        <v/>
      </c>
      <c r="L72" s="20">
        <f>J72+K72</f>
        <v/>
      </c>
      <c r="M72" s="21">
        <f>IF(I72&gt;=0.01,50,IF(I72&gt;=0.0095,37,IF(I72&gt;=0.009,25,12)))</f>
        <v/>
      </c>
      <c r="N72" s="21">
        <f>IF(L72&gt;=2000,30,IF(L72&gt;=1000,20,IF(L72&gt;=500,10,5)))</f>
        <v/>
      </c>
      <c r="O72" s="21" t="n">
        <v>20</v>
      </c>
      <c r="P72" s="22">
        <f>M72+N72+O72</f>
        <v/>
      </c>
      <c r="Q72" s="16" t="inlineStr">
        <is>
          <t>A11940950</t>
        </is>
      </c>
      <c r="R72" s="16" t="inlineStr"/>
      <c r="S72" s="16" t="inlineStr"/>
    </row>
    <row r="73">
      <c r="A73" s="15">
        <f>HYPERLINK("https://www.google.com/search?q=A11897754+Miami+MLS+listing", "A11897754")</f>
        <v/>
      </c>
      <c r="B73" s="16" t="inlineStr">
        <is>
          <t>7534/7536 NW 4th Ave</t>
        </is>
      </c>
      <c r="C73" s="16" t="inlineStr">
        <is>
          <t>33150</t>
        </is>
      </c>
      <c r="D73" s="16" t="inlineStr">
        <is>
          <t>Miami-Dade County</t>
        </is>
      </c>
      <c r="E73" s="16" t="inlineStr">
        <is>
          <t>Duplex</t>
        </is>
      </c>
      <c r="F73" s="17" t="n">
        <v>2</v>
      </c>
      <c r="G73" s="18" t="n">
        <v>645000</v>
      </c>
      <c r="H73" s="18" t="n">
        <v>5400</v>
      </c>
      <c r="I73" s="19">
        <f>H73/G73</f>
        <v/>
      </c>
      <c r="J73" s="18">
        <f>H73*(1-Assumptions!$B$4)</f>
        <v/>
      </c>
      <c r="K73" s="20">
        <f>PMT(Assumptions!$B$2/12, 360, -G73*(1-Assumptions!$B$3))</f>
        <v/>
      </c>
      <c r="L73" s="20">
        <f>J73+K73</f>
        <v/>
      </c>
      <c r="M73" s="21">
        <f>IF(I73&gt;=0.01,50,IF(I73&gt;=0.0095,37,IF(I73&gt;=0.009,25,12)))</f>
        <v/>
      </c>
      <c r="N73" s="21">
        <f>IF(L73&gt;=2000,30,IF(L73&gt;=1000,20,IF(L73&gt;=500,10,5)))</f>
        <v/>
      </c>
      <c r="O73" s="21" t="n">
        <v>20</v>
      </c>
      <c r="P73" s="22">
        <f>M73+N73+O73</f>
        <v/>
      </c>
      <c r="Q73" s="16" t="inlineStr">
        <is>
          <t>A11897754</t>
        </is>
      </c>
      <c r="R73" s="16" t="inlineStr"/>
      <c r="S73" s="16" t="inlineStr"/>
    </row>
    <row r="74">
      <c r="A74" s="15">
        <f>HYPERLINK("https://www.google.com/search?q=A11822047+Miami+MLS+listing", "A11822047")</f>
        <v/>
      </c>
      <c r="B74" s="16" t="inlineStr">
        <is>
          <t>1924 NW 35th St</t>
        </is>
      </c>
      <c r="C74" s="16" t="inlineStr">
        <is>
          <t>33142</t>
        </is>
      </c>
      <c r="D74" s="16" t="inlineStr">
        <is>
          <t>Miami-Dade County</t>
        </is>
      </c>
      <c r="E74" s="16" t="inlineStr">
        <is>
          <t>Duplex</t>
        </is>
      </c>
      <c r="F74" s="17" t="n">
        <v>2</v>
      </c>
      <c r="G74" s="18" t="n">
        <v>950000</v>
      </c>
      <c r="H74" s="18" t="n">
        <v>6400</v>
      </c>
      <c r="I74" s="19">
        <f>H74/G74</f>
        <v/>
      </c>
      <c r="J74" s="18">
        <f>H74*(1-Assumptions!$B$4)</f>
        <v/>
      </c>
      <c r="K74" s="20">
        <f>PMT(Assumptions!$B$2/12, 360, -G74*(1-Assumptions!$B$3))</f>
        <v/>
      </c>
      <c r="L74" s="20">
        <f>J74+K74</f>
        <v/>
      </c>
      <c r="M74" s="21">
        <f>IF(I74&gt;=0.01,50,IF(I74&gt;=0.0095,37,IF(I74&gt;=0.009,25,12)))</f>
        <v/>
      </c>
      <c r="N74" s="21">
        <f>IF(L74&gt;=2000,30,IF(L74&gt;=1000,20,IF(L74&gt;=500,10,5)))</f>
        <v/>
      </c>
      <c r="O74" s="21" t="n">
        <v>20</v>
      </c>
      <c r="P74" s="22">
        <f>M74+N74+O74</f>
        <v/>
      </c>
      <c r="Q74" s="16" t="inlineStr">
        <is>
          <t>A11822047</t>
        </is>
      </c>
      <c r="R74" s="16" t="inlineStr"/>
      <c r="S74" s="16" t="inlineStr"/>
    </row>
    <row r="75">
      <c r="A75" s="15">
        <f>HYPERLINK("https://www.google.com/search?q=A11955083+Miami+MLS+listing", "A11955083")</f>
        <v/>
      </c>
      <c r="B75" s="16" t="inlineStr">
        <is>
          <t>2729 NW 47th St</t>
        </is>
      </c>
      <c r="C75" s="16" t="inlineStr">
        <is>
          <t>33142</t>
        </is>
      </c>
      <c r="D75" s="16" t="inlineStr">
        <is>
          <t>Miami-Dade County</t>
        </is>
      </c>
      <c r="E75" s="16" t="inlineStr">
        <is>
          <t>Duplex</t>
        </is>
      </c>
      <c r="F75" s="17" t="n">
        <v>2</v>
      </c>
      <c r="G75" s="18" t="n">
        <v>802998</v>
      </c>
      <c r="H75" s="18" t="n">
        <v>5350</v>
      </c>
      <c r="I75" s="19">
        <f>H75/G75</f>
        <v/>
      </c>
      <c r="J75" s="18">
        <f>H75*(1-Assumptions!$B$4)</f>
        <v/>
      </c>
      <c r="K75" s="20">
        <f>PMT(Assumptions!$B$2/12, 360, -G75*(1-Assumptions!$B$3))</f>
        <v/>
      </c>
      <c r="L75" s="20">
        <f>J75+K75</f>
        <v/>
      </c>
      <c r="M75" s="21">
        <f>IF(I75&gt;=0.01,50,IF(I75&gt;=0.0095,37,IF(I75&gt;=0.009,25,12)))</f>
        <v/>
      </c>
      <c r="N75" s="21">
        <f>IF(L75&gt;=2000,30,IF(L75&gt;=1000,20,IF(L75&gt;=500,10,5)))</f>
        <v/>
      </c>
      <c r="O75" s="21" t="n">
        <v>20</v>
      </c>
      <c r="P75" s="22">
        <f>M75+N75+O75</f>
        <v/>
      </c>
      <c r="Q75" s="16" t="inlineStr">
        <is>
          <t>A11955083</t>
        </is>
      </c>
      <c r="R75" s="16" t="inlineStr"/>
      <c r="S75" s="16" t="inlineStr"/>
    </row>
    <row r="76">
      <c r="A76" s="15">
        <f>HYPERLINK("https://www.google.com/search?q=A11975535+Miami+MLS+listing", "A11975535")</f>
        <v/>
      </c>
      <c r="B76" s="16" t="inlineStr">
        <is>
          <t>1000 7th Street</t>
        </is>
      </c>
      <c r="C76" s="16" t="inlineStr">
        <is>
          <t>33139</t>
        </is>
      </c>
      <c r="D76" s="16" t="inlineStr">
        <is>
          <t>Miami-Dade County</t>
        </is>
      </c>
      <c r="E76" s="16" t="inlineStr">
        <is>
          <t>Fourplex</t>
        </is>
      </c>
      <c r="F76" s="17" t="n">
        <v>4</v>
      </c>
      <c r="G76" s="18" t="n">
        <v>4500000</v>
      </c>
      <c r="H76" s="18" t="n">
        <v>5340</v>
      </c>
      <c r="I76" s="19">
        <f>H76/G76</f>
        <v/>
      </c>
      <c r="J76" s="18">
        <f>H76*(1-Assumptions!$B$4)</f>
        <v/>
      </c>
      <c r="K76" s="20">
        <f>PMT(Assumptions!$B$2/12, 360, -G76*(1-Assumptions!$B$3))</f>
        <v/>
      </c>
      <c r="L76" s="20">
        <f>J76+K76</f>
        <v/>
      </c>
      <c r="M76" s="21">
        <f>IF(I76&gt;=0.01,50,IF(I76&gt;=0.0095,37,IF(I76&gt;=0.009,25,12)))</f>
        <v/>
      </c>
      <c r="N76" s="21">
        <f>IF(L76&gt;=2000,30,IF(L76&gt;=1000,20,IF(L76&gt;=500,10,5)))</f>
        <v/>
      </c>
      <c r="O76" s="21" t="n">
        <v>20</v>
      </c>
      <c r="P76" s="22">
        <f>M76+N76+O76</f>
        <v/>
      </c>
      <c r="Q76" s="16" t="inlineStr">
        <is>
          <t>A11975535</t>
        </is>
      </c>
      <c r="R76" s="16" t="inlineStr"/>
      <c r="S76" s="16" t="inlineStr"/>
    </row>
    <row r="77">
      <c r="A77" s="15">
        <f>HYPERLINK("https://www.google.com/search?q=A11805845+Miami+MLS+listing", "A11805845")</f>
        <v/>
      </c>
      <c r="B77" s="16" t="inlineStr">
        <is>
          <t>4400 NW 1st Ave</t>
        </is>
      </c>
      <c r="C77" s="16" t="inlineStr">
        <is>
          <t>33127</t>
        </is>
      </c>
      <c r="D77" s="16" t="inlineStr">
        <is>
          <t>Miami-Dade County</t>
        </is>
      </c>
      <c r="E77" s="16" t="inlineStr">
        <is>
          <t>Duplex</t>
        </is>
      </c>
      <c r="F77" s="17" t="n">
        <v>2</v>
      </c>
      <c r="G77" s="18" t="n">
        <v>1195000</v>
      </c>
      <c r="H77" s="18" t="n">
        <v>5300</v>
      </c>
      <c r="I77" s="19">
        <f>H77/G77</f>
        <v/>
      </c>
      <c r="J77" s="18">
        <f>H77*(1-Assumptions!$B$4)</f>
        <v/>
      </c>
      <c r="K77" s="20">
        <f>PMT(Assumptions!$B$2/12, 360, -G77*(1-Assumptions!$B$3))</f>
        <v/>
      </c>
      <c r="L77" s="20">
        <f>J77+K77</f>
        <v/>
      </c>
      <c r="M77" s="21">
        <f>IF(I77&gt;=0.01,50,IF(I77&gt;=0.0095,37,IF(I77&gt;=0.009,25,12)))</f>
        <v/>
      </c>
      <c r="N77" s="21">
        <f>IF(L77&gt;=2000,30,IF(L77&gt;=1000,20,IF(L77&gt;=500,10,5)))</f>
        <v/>
      </c>
      <c r="O77" s="21" t="n">
        <v>20</v>
      </c>
      <c r="P77" s="22">
        <f>M77+N77+O77</f>
        <v/>
      </c>
      <c r="Q77" s="16" t="inlineStr">
        <is>
          <t>A11805845</t>
        </is>
      </c>
      <c r="R77" s="16" t="inlineStr"/>
      <c r="S77" s="16" t="inlineStr"/>
    </row>
    <row r="78">
      <c r="A78" s="15">
        <f>HYPERLINK("https://www.google.com/search?q=A11939713+Miami+MLS+listing", "A11939713")</f>
        <v/>
      </c>
      <c r="B78" s="16" t="inlineStr">
        <is>
          <t>2939 SW 21st ST</t>
        </is>
      </c>
      <c r="C78" s="16" t="inlineStr">
        <is>
          <t>33145</t>
        </is>
      </c>
      <c r="D78" s="16" t="inlineStr">
        <is>
          <t>Miami-Dade County</t>
        </is>
      </c>
      <c r="E78" s="16" t="inlineStr">
        <is>
          <t>Duplex</t>
        </is>
      </c>
      <c r="F78" s="17" t="n">
        <v>2</v>
      </c>
      <c r="G78" s="18" t="n">
        <v>6120000</v>
      </c>
      <c r="H78" s="18" t="n">
        <v>40000</v>
      </c>
      <c r="I78" s="19">
        <f>H78/G78</f>
        <v/>
      </c>
      <c r="J78" s="18">
        <f>H78*(1-Assumptions!$B$4)</f>
        <v/>
      </c>
      <c r="K78" s="20">
        <f>PMT(Assumptions!$B$2/12, 360, -G78*(1-Assumptions!$B$3))</f>
        <v/>
      </c>
      <c r="L78" s="20">
        <f>J78+K78</f>
        <v/>
      </c>
      <c r="M78" s="21">
        <f>IF(I78&gt;=0.01,50,IF(I78&gt;=0.0095,37,IF(I78&gt;=0.009,25,12)))</f>
        <v/>
      </c>
      <c r="N78" s="21">
        <f>IF(L78&gt;=2000,30,IF(L78&gt;=1000,20,IF(L78&gt;=500,10,5)))</f>
        <v/>
      </c>
      <c r="O78" s="21" t="n">
        <v>20</v>
      </c>
      <c r="P78" s="22">
        <f>M78+N78+O78</f>
        <v/>
      </c>
      <c r="Q78" s="16" t="inlineStr">
        <is>
          <t>A11939713</t>
        </is>
      </c>
      <c r="R78" s="16" t="inlineStr"/>
      <c r="S78" s="16" t="inlineStr"/>
    </row>
    <row r="79">
      <c r="A79" s="15">
        <f>HYPERLINK("https://www.google.com/search?q=A11929998+Miami+MLS+listing", "A11929998")</f>
        <v/>
      </c>
      <c r="B79" s="16" t="inlineStr">
        <is>
          <t>1570 NE 130th St</t>
        </is>
      </c>
      <c r="C79" s="16" t="inlineStr">
        <is>
          <t>33161</t>
        </is>
      </c>
      <c r="D79" s="16" t="inlineStr">
        <is>
          <t>Miami-Dade County</t>
        </is>
      </c>
      <c r="E79" s="16" t="inlineStr">
        <is>
          <t>Fourplex</t>
        </is>
      </c>
      <c r="F79" s="17" t="n">
        <v>4</v>
      </c>
      <c r="G79" s="18" t="n">
        <v>944000</v>
      </c>
      <c r="H79" s="18" t="n">
        <v>4575</v>
      </c>
      <c r="I79" s="19">
        <f>H79/G79</f>
        <v/>
      </c>
      <c r="J79" s="18">
        <f>H79*(1-Assumptions!$B$4)</f>
        <v/>
      </c>
      <c r="K79" s="20">
        <f>PMT(Assumptions!$B$2/12, 360, -G79*(1-Assumptions!$B$3))</f>
        <v/>
      </c>
      <c r="L79" s="20">
        <f>J79+K79</f>
        <v/>
      </c>
      <c r="M79" s="21">
        <f>IF(I79&gt;=0.01,50,IF(I79&gt;=0.0095,37,IF(I79&gt;=0.009,25,12)))</f>
        <v/>
      </c>
      <c r="N79" s="21">
        <f>IF(L79&gt;=2000,30,IF(L79&gt;=1000,20,IF(L79&gt;=500,10,5)))</f>
        <v/>
      </c>
      <c r="O79" s="21" t="n">
        <v>20</v>
      </c>
      <c r="P79" s="22">
        <f>M79+N79+O79</f>
        <v/>
      </c>
      <c r="Q79" s="16" t="inlineStr">
        <is>
          <t>A11929998</t>
        </is>
      </c>
      <c r="R79" s="16" t="inlineStr"/>
      <c r="S79" s="16" t="inlineStr"/>
    </row>
    <row r="80">
      <c r="A80" s="15">
        <f>HYPERLINK("https://www.google.com/search?q=A11849198+Miami+MLS+listing", "A11849198")</f>
        <v/>
      </c>
      <c r="B80" s="16" t="inlineStr">
        <is>
          <t>1574 NW 58th St</t>
        </is>
      </c>
      <c r="C80" s="16" t="inlineStr">
        <is>
          <t>33142</t>
        </is>
      </c>
      <c r="D80" s="16" t="inlineStr">
        <is>
          <t>Miami-Dade County</t>
        </is>
      </c>
      <c r="E80" s="16" t="inlineStr">
        <is>
          <t>Duplex</t>
        </is>
      </c>
      <c r="F80" s="17" t="n">
        <v>2</v>
      </c>
      <c r="G80" s="18" t="n">
        <v>590000</v>
      </c>
      <c r="H80" s="18" t="n">
        <v>4550</v>
      </c>
      <c r="I80" s="19">
        <f>H80/G80</f>
        <v/>
      </c>
      <c r="J80" s="18">
        <f>H80*(1-Assumptions!$B$4)</f>
        <v/>
      </c>
      <c r="K80" s="20">
        <f>PMT(Assumptions!$B$2/12, 360, -G80*(1-Assumptions!$B$3))</f>
        <v/>
      </c>
      <c r="L80" s="20">
        <f>J80+K80</f>
        <v/>
      </c>
      <c r="M80" s="21">
        <f>IF(I80&gt;=0.01,50,IF(I80&gt;=0.0095,37,IF(I80&gt;=0.009,25,12)))</f>
        <v/>
      </c>
      <c r="N80" s="21">
        <f>IF(L80&gt;=2000,30,IF(L80&gt;=1000,20,IF(L80&gt;=500,10,5)))</f>
        <v/>
      </c>
      <c r="O80" s="21" t="n">
        <v>20</v>
      </c>
      <c r="P80" s="22">
        <f>M80+N80+O80</f>
        <v/>
      </c>
      <c r="Q80" s="16" t="inlineStr">
        <is>
          <t>A11849198</t>
        </is>
      </c>
      <c r="R80" s="16" t="inlineStr"/>
      <c r="S80" s="16" t="inlineStr"/>
    </row>
    <row r="81">
      <c r="A81" s="15">
        <f>HYPERLINK("https://www.google.com/search?q=A11932161+Miami+MLS+listing", "A11932161")</f>
        <v/>
      </c>
      <c r="B81" s="16" t="inlineStr">
        <is>
          <t>1533 NW 53rd St</t>
        </is>
      </c>
      <c r="C81" s="16" t="inlineStr">
        <is>
          <t>33142</t>
        </is>
      </c>
      <c r="D81" s="16" t="inlineStr">
        <is>
          <t>Miami-Dade County</t>
        </is>
      </c>
      <c r="E81" s="16" t="inlineStr">
        <is>
          <t>Duplex</t>
        </is>
      </c>
      <c r="F81" s="17" t="n">
        <v>2</v>
      </c>
      <c r="G81" s="18" t="n">
        <v>575000</v>
      </c>
      <c r="H81" s="18" t="n">
        <v>4500</v>
      </c>
      <c r="I81" s="19">
        <f>H81/G81</f>
        <v/>
      </c>
      <c r="J81" s="18">
        <f>H81*(1-Assumptions!$B$4)</f>
        <v/>
      </c>
      <c r="K81" s="20">
        <f>PMT(Assumptions!$B$2/12, 360, -G81*(1-Assumptions!$B$3))</f>
        <v/>
      </c>
      <c r="L81" s="20">
        <f>J81+K81</f>
        <v/>
      </c>
      <c r="M81" s="21">
        <f>IF(I81&gt;=0.01,50,IF(I81&gt;=0.0095,37,IF(I81&gt;=0.009,25,12)))</f>
        <v/>
      </c>
      <c r="N81" s="21">
        <f>IF(L81&gt;=2000,30,IF(L81&gt;=1000,20,IF(L81&gt;=500,10,5)))</f>
        <v/>
      </c>
      <c r="O81" s="21" t="n">
        <v>20</v>
      </c>
      <c r="P81" s="22">
        <f>M81+N81+O81</f>
        <v/>
      </c>
      <c r="Q81" s="16" t="inlineStr">
        <is>
          <t>A11932161</t>
        </is>
      </c>
      <c r="R81" s="16" t="inlineStr"/>
      <c r="S81" s="16" t="inlineStr"/>
    </row>
    <row r="82">
      <c r="A82" s="15">
        <f>HYPERLINK("https://www.google.com/search?q=A11910562+Miami+MLS+listing", "A11910562")</f>
        <v/>
      </c>
      <c r="B82" s="16" t="inlineStr">
        <is>
          <t>282 NW 41st Ave</t>
        </is>
      </c>
      <c r="C82" s="16" t="inlineStr">
        <is>
          <t>33126</t>
        </is>
      </c>
      <c r="D82" s="16" t="inlineStr">
        <is>
          <t>Miami-Dade County</t>
        </is>
      </c>
      <c r="E82" s="16" t="inlineStr">
        <is>
          <t>Duplex</t>
        </is>
      </c>
      <c r="F82" s="17" t="n">
        <v>2</v>
      </c>
      <c r="G82" s="18" t="n">
        <v>750000</v>
      </c>
      <c r="H82" s="18" t="n">
        <v>2300</v>
      </c>
      <c r="I82" s="19">
        <f>H82/G82</f>
        <v/>
      </c>
      <c r="J82" s="18">
        <f>H82*(1-Assumptions!$B$4)</f>
        <v/>
      </c>
      <c r="K82" s="20">
        <f>PMT(Assumptions!$B$2/12, 360, -G82*(1-Assumptions!$B$3))</f>
        <v/>
      </c>
      <c r="L82" s="20">
        <f>J82+K82</f>
        <v/>
      </c>
      <c r="M82" s="21">
        <f>IF(I82&gt;=0.01,50,IF(I82&gt;=0.0095,37,IF(I82&gt;=0.009,25,12)))</f>
        <v/>
      </c>
      <c r="N82" s="21">
        <f>IF(L82&gt;=2000,30,IF(L82&gt;=1000,20,IF(L82&gt;=500,10,5)))</f>
        <v/>
      </c>
      <c r="O82" s="21" t="n">
        <v>20</v>
      </c>
      <c r="P82" s="22">
        <f>M82+N82+O82</f>
        <v/>
      </c>
      <c r="Q82" s="16" t="inlineStr">
        <is>
          <t>A11910562</t>
        </is>
      </c>
      <c r="R82" s="16" t="inlineStr"/>
      <c r="S82" s="16" t="inlineStr"/>
    </row>
    <row r="83">
      <c r="A83" s="15">
        <f>HYPERLINK("https://www.google.com/search?q=A11799039+Miami+MLS+listing", "A11799039")</f>
        <v/>
      </c>
      <c r="B83" s="16" t="inlineStr">
        <is>
          <t>16204 NE 18th Ct</t>
        </is>
      </c>
      <c r="C83" s="16" t="inlineStr">
        <is>
          <t>33162</t>
        </is>
      </c>
      <c r="D83" s="16" t="inlineStr">
        <is>
          <t>Miami-Dade County</t>
        </is>
      </c>
      <c r="E83" s="16" t="inlineStr">
        <is>
          <t>Duplex</t>
        </is>
      </c>
      <c r="F83" s="17" t="n">
        <v>2</v>
      </c>
      <c r="G83" s="18" t="n">
        <v>633000</v>
      </c>
      <c r="H83" s="18" t="n">
        <v>2400</v>
      </c>
      <c r="I83" s="19">
        <f>H83/G83</f>
        <v/>
      </c>
      <c r="J83" s="18">
        <f>H83*(1-Assumptions!$B$4)</f>
        <v/>
      </c>
      <c r="K83" s="20">
        <f>PMT(Assumptions!$B$2/12, 360, -G83*(1-Assumptions!$B$3))</f>
        <v/>
      </c>
      <c r="L83" s="20">
        <f>J83+K83</f>
        <v/>
      </c>
      <c r="M83" s="21">
        <f>IF(I83&gt;=0.01,50,IF(I83&gt;=0.0095,37,IF(I83&gt;=0.009,25,12)))</f>
        <v/>
      </c>
      <c r="N83" s="21">
        <f>IF(L83&gt;=2000,30,IF(L83&gt;=1000,20,IF(L83&gt;=500,10,5)))</f>
        <v/>
      </c>
      <c r="O83" s="21" t="n">
        <v>20</v>
      </c>
      <c r="P83" s="22">
        <f>M83+N83+O83</f>
        <v/>
      </c>
      <c r="Q83" s="16" t="inlineStr">
        <is>
          <t>A11799039</t>
        </is>
      </c>
      <c r="R83" s="16" t="inlineStr"/>
      <c r="S83" s="16" t="inlineStr"/>
    </row>
    <row r="84">
      <c r="A84" s="15">
        <f>HYPERLINK("https://www.google.com/search?q=A11961535+Miami+MLS+listing", "A11961535")</f>
        <v/>
      </c>
      <c r="B84" s="16" t="inlineStr">
        <is>
          <t>551 NE 67th St</t>
        </is>
      </c>
      <c r="C84" s="16" t="inlineStr">
        <is>
          <t>33138</t>
        </is>
      </c>
      <c r="D84" s="16" t="inlineStr">
        <is>
          <t>Miami-Dade County</t>
        </is>
      </c>
      <c r="E84" s="16" t="inlineStr">
        <is>
          <t>Duplex</t>
        </is>
      </c>
      <c r="F84" s="17" t="n">
        <v>2</v>
      </c>
      <c r="G84" s="18" t="n">
        <v>1250000</v>
      </c>
      <c r="H84" s="18" t="n">
        <v>2600</v>
      </c>
      <c r="I84" s="19">
        <f>H84/G84</f>
        <v/>
      </c>
      <c r="J84" s="18">
        <f>H84*(1-Assumptions!$B$4)</f>
        <v/>
      </c>
      <c r="K84" s="20">
        <f>PMT(Assumptions!$B$2/12, 360, -G84*(1-Assumptions!$B$3))</f>
        <v/>
      </c>
      <c r="L84" s="20">
        <f>J84+K84</f>
        <v/>
      </c>
      <c r="M84" s="21">
        <f>IF(I84&gt;=0.01,50,IF(I84&gt;=0.0095,37,IF(I84&gt;=0.009,25,12)))</f>
        <v/>
      </c>
      <c r="N84" s="21">
        <f>IF(L84&gt;=2000,30,IF(L84&gt;=1000,20,IF(L84&gt;=500,10,5)))</f>
        <v/>
      </c>
      <c r="O84" s="21" t="n">
        <v>20</v>
      </c>
      <c r="P84" s="22">
        <f>M84+N84+O84</f>
        <v/>
      </c>
      <c r="Q84" s="16" t="inlineStr">
        <is>
          <t>A11961535</t>
        </is>
      </c>
      <c r="R84" s="16" t="inlineStr"/>
      <c r="S84" s="16" t="inlineStr"/>
    </row>
    <row r="85">
      <c r="A85" s="15">
        <f>HYPERLINK("https://www.google.com/search?q=A11904937+Miami+MLS+listing", "A11904937")</f>
        <v/>
      </c>
      <c r="B85" s="16" t="inlineStr">
        <is>
          <t>3376 NW 49th St</t>
        </is>
      </c>
      <c r="C85" s="16" t="inlineStr">
        <is>
          <t>33142</t>
        </is>
      </c>
      <c r="D85" s="16" t="inlineStr">
        <is>
          <t>Miami-Dade County</t>
        </is>
      </c>
      <c r="E85" s="16" t="inlineStr">
        <is>
          <t>Duplex</t>
        </is>
      </c>
      <c r="F85" s="17" t="n">
        <v>2</v>
      </c>
      <c r="G85" s="18" t="n">
        <v>700000</v>
      </c>
      <c r="H85" s="18" t="n">
        <v>2600</v>
      </c>
      <c r="I85" s="19">
        <f>H85/G85</f>
        <v/>
      </c>
      <c r="J85" s="18">
        <f>H85*(1-Assumptions!$B$4)</f>
        <v/>
      </c>
      <c r="K85" s="20">
        <f>PMT(Assumptions!$B$2/12, 360, -G85*(1-Assumptions!$B$3))</f>
        <v/>
      </c>
      <c r="L85" s="20">
        <f>J85+K85</f>
        <v/>
      </c>
      <c r="M85" s="21">
        <f>IF(I85&gt;=0.01,50,IF(I85&gt;=0.0095,37,IF(I85&gt;=0.009,25,12)))</f>
        <v/>
      </c>
      <c r="N85" s="21">
        <f>IF(L85&gt;=2000,30,IF(L85&gt;=1000,20,IF(L85&gt;=500,10,5)))</f>
        <v/>
      </c>
      <c r="O85" s="21" t="n">
        <v>20</v>
      </c>
      <c r="P85" s="22">
        <f>M85+N85+O85</f>
        <v/>
      </c>
      <c r="Q85" s="16" t="inlineStr">
        <is>
          <t>A11904937</t>
        </is>
      </c>
      <c r="R85" s="16" t="inlineStr"/>
      <c r="S85" s="16" t="inlineStr"/>
    </row>
    <row r="86">
      <c r="A86" s="15">
        <f>HYPERLINK("https://www.google.com/search?q=A11972053+Miami+MLS+listing", "A11972053")</f>
        <v/>
      </c>
      <c r="B86" s="16" t="inlineStr">
        <is>
          <t>1064 NW 103rd St</t>
        </is>
      </c>
      <c r="C86" s="16" t="inlineStr">
        <is>
          <t>33150</t>
        </is>
      </c>
      <c r="D86" s="16" t="inlineStr">
        <is>
          <t>Miami-Dade County</t>
        </is>
      </c>
      <c r="E86" s="16" t="inlineStr">
        <is>
          <t>Duplex</t>
        </is>
      </c>
      <c r="F86" s="17" t="n">
        <v>2</v>
      </c>
      <c r="G86" s="18" t="n">
        <v>585000</v>
      </c>
      <c r="H86" s="18" t="n">
        <v>2600</v>
      </c>
      <c r="I86" s="19">
        <f>H86/G86</f>
        <v/>
      </c>
      <c r="J86" s="18">
        <f>H86*(1-Assumptions!$B$4)</f>
        <v/>
      </c>
      <c r="K86" s="20">
        <f>PMT(Assumptions!$B$2/12, 360, -G86*(1-Assumptions!$B$3))</f>
        <v/>
      </c>
      <c r="L86" s="20">
        <f>J86+K86</f>
        <v/>
      </c>
      <c r="M86" s="21">
        <f>IF(I86&gt;=0.01,50,IF(I86&gt;=0.0095,37,IF(I86&gt;=0.009,25,12)))</f>
        <v/>
      </c>
      <c r="N86" s="21">
        <f>IF(L86&gt;=2000,30,IF(L86&gt;=1000,20,IF(L86&gt;=500,10,5)))</f>
        <v/>
      </c>
      <c r="O86" s="21" t="n">
        <v>20</v>
      </c>
      <c r="P86" s="22">
        <f>M86+N86+O86</f>
        <v/>
      </c>
      <c r="Q86" s="16" t="inlineStr">
        <is>
          <t>A11972053</t>
        </is>
      </c>
      <c r="R86" s="16" t="inlineStr"/>
      <c r="S86" s="16" t="inlineStr"/>
    </row>
    <row r="87">
      <c r="A87" s="15">
        <f>HYPERLINK("https://www.google.com/search?q=A11915643+Miami+MLS+listing", "A11915643")</f>
        <v/>
      </c>
      <c r="B87" s="16" t="inlineStr">
        <is>
          <t>2009 NW 34th St</t>
        </is>
      </c>
      <c r="C87" s="16" t="inlineStr">
        <is>
          <t>33142</t>
        </is>
      </c>
      <c r="D87" s="16" t="inlineStr">
        <is>
          <t>Miami-Dade County</t>
        </is>
      </c>
      <c r="E87" s="16" t="inlineStr">
        <is>
          <t>Duplex</t>
        </is>
      </c>
      <c r="F87" s="17" t="n">
        <v>2</v>
      </c>
      <c r="G87" s="18" t="n">
        <v>675000</v>
      </c>
      <c r="H87" s="18" t="n">
        <v>2700</v>
      </c>
      <c r="I87" s="19">
        <f>H87/G87</f>
        <v/>
      </c>
      <c r="J87" s="18">
        <f>H87*(1-Assumptions!$B$4)</f>
        <v/>
      </c>
      <c r="K87" s="20">
        <f>PMT(Assumptions!$B$2/12, 360, -G87*(1-Assumptions!$B$3))</f>
        <v/>
      </c>
      <c r="L87" s="20">
        <f>J87+K87</f>
        <v/>
      </c>
      <c r="M87" s="21">
        <f>IF(I87&gt;=0.01,50,IF(I87&gt;=0.0095,37,IF(I87&gt;=0.009,25,12)))</f>
        <v/>
      </c>
      <c r="N87" s="21">
        <f>IF(L87&gt;=2000,30,IF(L87&gt;=1000,20,IF(L87&gt;=500,10,5)))</f>
        <v/>
      </c>
      <c r="O87" s="21" t="n">
        <v>20</v>
      </c>
      <c r="P87" s="22">
        <f>M87+N87+O87</f>
        <v/>
      </c>
      <c r="Q87" s="16" t="inlineStr">
        <is>
          <t>A11915643</t>
        </is>
      </c>
      <c r="R87" s="16" t="inlineStr"/>
      <c r="S87" s="16" t="inlineStr"/>
    </row>
    <row r="88">
      <c r="A88" s="15">
        <f>HYPERLINK("https://www.google.com/search?q=A11862936+Miami+MLS+listing", "A11862936")</f>
        <v/>
      </c>
      <c r="B88" s="16" t="inlineStr">
        <is>
          <t>13201 Memorial Hwy</t>
        </is>
      </c>
      <c r="C88" s="16" t="inlineStr">
        <is>
          <t>33161</t>
        </is>
      </c>
      <c r="D88" s="16" t="inlineStr">
        <is>
          <t>Miami-Dade County</t>
        </is>
      </c>
      <c r="E88" s="16" t="inlineStr">
        <is>
          <t>Duplex</t>
        </is>
      </c>
      <c r="F88" s="17" t="n">
        <v>2</v>
      </c>
      <c r="G88" s="18" t="n">
        <v>4680000</v>
      </c>
      <c r="H88" s="18" t="n">
        <v>2800</v>
      </c>
      <c r="I88" s="19">
        <f>H88/G88</f>
        <v/>
      </c>
      <c r="J88" s="18">
        <f>H88*(1-Assumptions!$B$4)</f>
        <v/>
      </c>
      <c r="K88" s="20">
        <f>PMT(Assumptions!$B$2/12, 360, -G88*(1-Assumptions!$B$3))</f>
        <v/>
      </c>
      <c r="L88" s="20">
        <f>J88+K88</f>
        <v/>
      </c>
      <c r="M88" s="21">
        <f>IF(I88&gt;=0.01,50,IF(I88&gt;=0.0095,37,IF(I88&gt;=0.009,25,12)))</f>
        <v/>
      </c>
      <c r="N88" s="21">
        <f>IF(L88&gt;=2000,30,IF(L88&gt;=1000,20,IF(L88&gt;=500,10,5)))</f>
        <v/>
      </c>
      <c r="O88" s="21" t="n">
        <v>20</v>
      </c>
      <c r="P88" s="22">
        <f>M88+N88+O88</f>
        <v/>
      </c>
      <c r="Q88" s="16" t="inlineStr">
        <is>
          <t>A11862936</t>
        </is>
      </c>
      <c r="R88" s="16" t="inlineStr"/>
      <c r="S88" s="16" t="inlineStr"/>
    </row>
    <row r="89">
      <c r="A89" s="15">
        <f>HYPERLINK("https://www.google.com/search?q=A11944032+Miami+MLS+listing", "A11944032")</f>
        <v/>
      </c>
      <c r="B89" s="16" t="inlineStr">
        <is>
          <t>1900 NW 88th St</t>
        </is>
      </c>
      <c r="C89" s="16" t="inlineStr">
        <is>
          <t>33147</t>
        </is>
      </c>
      <c r="D89" s="16" t="inlineStr">
        <is>
          <t>Miami-Dade County</t>
        </is>
      </c>
      <c r="E89" s="16" t="inlineStr">
        <is>
          <t>Duplex</t>
        </is>
      </c>
      <c r="F89" s="17" t="n">
        <v>2</v>
      </c>
      <c r="G89" s="18" t="n">
        <v>520000</v>
      </c>
      <c r="H89" s="18" t="n">
        <v>2925</v>
      </c>
      <c r="I89" s="19">
        <f>H89/G89</f>
        <v/>
      </c>
      <c r="J89" s="18">
        <f>H89*(1-Assumptions!$B$4)</f>
        <v/>
      </c>
      <c r="K89" s="20">
        <f>PMT(Assumptions!$B$2/12, 360, -G89*(1-Assumptions!$B$3))</f>
        <v/>
      </c>
      <c r="L89" s="20">
        <f>J89+K89</f>
        <v/>
      </c>
      <c r="M89" s="21">
        <f>IF(I89&gt;=0.01,50,IF(I89&gt;=0.0095,37,IF(I89&gt;=0.009,25,12)))</f>
        <v/>
      </c>
      <c r="N89" s="21">
        <f>IF(L89&gt;=2000,30,IF(L89&gt;=1000,20,IF(L89&gt;=500,10,5)))</f>
        <v/>
      </c>
      <c r="O89" s="21" t="n">
        <v>20</v>
      </c>
      <c r="P89" s="22">
        <f>M89+N89+O89</f>
        <v/>
      </c>
      <c r="Q89" s="16" t="inlineStr">
        <is>
          <t>A11944032</t>
        </is>
      </c>
      <c r="R89" s="16" t="inlineStr"/>
      <c r="S89" s="16" t="inlineStr"/>
    </row>
    <row r="90">
      <c r="A90" s="15">
        <f>HYPERLINK("https://www.google.com/search?q=A11938592+Miami+MLS+listing", "A11938592")</f>
        <v/>
      </c>
      <c r="B90" s="16" t="inlineStr">
        <is>
          <t>3601 SW 7th St</t>
        </is>
      </c>
      <c r="C90" s="16" t="inlineStr">
        <is>
          <t>33135</t>
        </is>
      </c>
      <c r="D90" s="16" t="inlineStr">
        <is>
          <t>Miami-Dade County</t>
        </is>
      </c>
      <c r="E90" s="16" t="inlineStr">
        <is>
          <t>Duplex</t>
        </is>
      </c>
      <c r="F90" s="17" t="n">
        <v>2</v>
      </c>
      <c r="G90" s="18" t="n">
        <v>850000</v>
      </c>
      <c r="H90" s="18" t="n">
        <v>2950</v>
      </c>
      <c r="I90" s="19">
        <f>H90/G90</f>
        <v/>
      </c>
      <c r="J90" s="18">
        <f>H90*(1-Assumptions!$B$4)</f>
        <v/>
      </c>
      <c r="K90" s="20">
        <f>PMT(Assumptions!$B$2/12, 360, -G90*(1-Assumptions!$B$3))</f>
        <v/>
      </c>
      <c r="L90" s="20">
        <f>J90+K90</f>
        <v/>
      </c>
      <c r="M90" s="21">
        <f>IF(I90&gt;=0.01,50,IF(I90&gt;=0.0095,37,IF(I90&gt;=0.009,25,12)))</f>
        <v/>
      </c>
      <c r="N90" s="21">
        <f>IF(L90&gt;=2000,30,IF(L90&gt;=1000,20,IF(L90&gt;=500,10,5)))</f>
        <v/>
      </c>
      <c r="O90" s="21" t="n">
        <v>20</v>
      </c>
      <c r="P90" s="22">
        <f>M90+N90+O90</f>
        <v/>
      </c>
      <c r="Q90" s="16" t="inlineStr">
        <is>
          <t>A11938592</t>
        </is>
      </c>
      <c r="R90" s="16" t="inlineStr"/>
      <c r="S90" s="16" t="inlineStr"/>
    </row>
    <row r="91">
      <c r="A91" s="15">
        <f>HYPERLINK("https://www.google.com/search?q=A11919512+Miami+MLS+listing", "A11919512")</f>
        <v/>
      </c>
      <c r="B91" s="16" t="inlineStr">
        <is>
          <t>9700 NW 20th Ave</t>
        </is>
      </c>
      <c r="C91" s="16" t="inlineStr">
        <is>
          <t>33147</t>
        </is>
      </c>
      <c r="D91" s="16" t="inlineStr">
        <is>
          <t>Miami-Dade County</t>
        </is>
      </c>
      <c r="E91" s="16" t="inlineStr">
        <is>
          <t>Fourplex</t>
        </is>
      </c>
      <c r="F91" s="17" t="n">
        <v>4</v>
      </c>
      <c r="G91" s="18" t="n">
        <v>749000</v>
      </c>
      <c r="H91" s="18" t="n">
        <v>3150</v>
      </c>
      <c r="I91" s="19">
        <f>H91/G91</f>
        <v/>
      </c>
      <c r="J91" s="18">
        <f>H91*(1-Assumptions!$B$4)</f>
        <v/>
      </c>
      <c r="K91" s="20">
        <f>PMT(Assumptions!$B$2/12, 360, -G91*(1-Assumptions!$B$3))</f>
        <v/>
      </c>
      <c r="L91" s="20">
        <f>J91+K91</f>
        <v/>
      </c>
      <c r="M91" s="21">
        <f>IF(I91&gt;=0.01,50,IF(I91&gt;=0.0095,37,IF(I91&gt;=0.009,25,12)))</f>
        <v/>
      </c>
      <c r="N91" s="21">
        <f>IF(L91&gt;=2000,30,IF(L91&gt;=1000,20,IF(L91&gt;=500,10,5)))</f>
        <v/>
      </c>
      <c r="O91" s="21" t="n">
        <v>20</v>
      </c>
      <c r="P91" s="22">
        <f>M91+N91+O91</f>
        <v/>
      </c>
      <c r="Q91" s="16" t="inlineStr">
        <is>
          <t>A11919512</t>
        </is>
      </c>
      <c r="R91" s="16" t="inlineStr"/>
      <c r="S91" s="16" t="inlineStr"/>
    </row>
    <row r="92">
      <c r="A92" s="15">
        <f>HYPERLINK("https://www.google.com/search?q=A11872704+Miami+MLS+listing", "A11872704")</f>
        <v/>
      </c>
      <c r="B92" s="16" t="inlineStr">
        <is>
          <t>1325 SW 6th St</t>
        </is>
      </c>
      <c r="C92" s="16" t="inlineStr">
        <is>
          <t>33135</t>
        </is>
      </c>
      <c r="D92" s="16" t="inlineStr">
        <is>
          <t>Miami-Dade County</t>
        </is>
      </c>
      <c r="E92" s="16" t="inlineStr">
        <is>
          <t>Fourplex</t>
        </is>
      </c>
      <c r="F92" s="17" t="n">
        <v>4</v>
      </c>
      <c r="G92" s="18" t="n">
        <v>700000</v>
      </c>
      <c r="H92" s="18" t="n">
        <v>3200</v>
      </c>
      <c r="I92" s="19">
        <f>H92/G92</f>
        <v/>
      </c>
      <c r="J92" s="18">
        <f>H92*(1-Assumptions!$B$4)</f>
        <v/>
      </c>
      <c r="K92" s="20">
        <f>PMT(Assumptions!$B$2/12, 360, -G92*(1-Assumptions!$B$3))</f>
        <v/>
      </c>
      <c r="L92" s="20">
        <f>J92+K92</f>
        <v/>
      </c>
      <c r="M92" s="21">
        <f>IF(I92&gt;=0.01,50,IF(I92&gt;=0.0095,37,IF(I92&gt;=0.009,25,12)))</f>
        <v/>
      </c>
      <c r="N92" s="21">
        <f>IF(L92&gt;=2000,30,IF(L92&gt;=1000,20,IF(L92&gt;=500,10,5)))</f>
        <v/>
      </c>
      <c r="O92" s="21" t="n">
        <v>20</v>
      </c>
      <c r="P92" s="22">
        <f>M92+N92+O92</f>
        <v/>
      </c>
      <c r="Q92" s="16" t="inlineStr">
        <is>
          <t>A11872704</t>
        </is>
      </c>
      <c r="R92" s="16" t="inlineStr"/>
      <c r="S92" s="16" t="inlineStr"/>
    </row>
    <row r="93">
      <c r="A93" s="15">
        <f>HYPERLINK("https://www.google.com/search?q=A11909683+Miami+MLS+listing", "A11909683")</f>
        <v/>
      </c>
      <c r="B93" s="16" t="inlineStr">
        <is>
          <t>53 NW 68th Ter</t>
        </is>
      </c>
      <c r="C93" s="16" t="inlineStr">
        <is>
          <t>33150</t>
        </is>
      </c>
      <c r="D93" s="16" t="inlineStr">
        <is>
          <t>Miami-Dade County</t>
        </is>
      </c>
      <c r="E93" s="16" t="inlineStr">
        <is>
          <t>Duplex</t>
        </is>
      </c>
      <c r="F93" s="17" t="n">
        <v>2</v>
      </c>
      <c r="G93" s="18" t="n">
        <v>800000</v>
      </c>
      <c r="H93" s="18" t="n">
        <v>3200</v>
      </c>
      <c r="I93" s="19">
        <f>H93/G93</f>
        <v/>
      </c>
      <c r="J93" s="18">
        <f>H93*(1-Assumptions!$B$4)</f>
        <v/>
      </c>
      <c r="K93" s="20">
        <f>PMT(Assumptions!$B$2/12, 360, -G93*(1-Assumptions!$B$3))</f>
        <v/>
      </c>
      <c r="L93" s="20">
        <f>J93+K93</f>
        <v/>
      </c>
      <c r="M93" s="21">
        <f>IF(I93&gt;=0.01,50,IF(I93&gt;=0.0095,37,IF(I93&gt;=0.009,25,12)))</f>
        <v/>
      </c>
      <c r="N93" s="21">
        <f>IF(L93&gt;=2000,30,IF(L93&gt;=1000,20,IF(L93&gt;=500,10,5)))</f>
        <v/>
      </c>
      <c r="O93" s="21" t="n">
        <v>20</v>
      </c>
      <c r="P93" s="22">
        <f>M93+N93+O93</f>
        <v/>
      </c>
      <c r="Q93" s="16" t="inlineStr">
        <is>
          <t>A11909683</t>
        </is>
      </c>
      <c r="R93" s="16" t="inlineStr"/>
      <c r="S93" s="16" t="inlineStr"/>
    </row>
    <row r="94">
      <c r="A94" s="15">
        <f>HYPERLINK("https://www.google.com/search?q=A11893705+Miami+MLS+listing", "A11893705")</f>
        <v/>
      </c>
      <c r="B94" s="16" t="inlineStr">
        <is>
          <t>300 NW 13th Ave</t>
        </is>
      </c>
      <c r="C94" s="16" t="inlineStr">
        <is>
          <t>33125</t>
        </is>
      </c>
      <c r="D94" s="16" t="inlineStr">
        <is>
          <t>Miami-Dade County</t>
        </is>
      </c>
      <c r="E94" s="16" t="inlineStr">
        <is>
          <t>Duplex</t>
        </is>
      </c>
      <c r="F94" s="17" t="n">
        <v>2</v>
      </c>
      <c r="G94" s="18" t="n">
        <v>950000</v>
      </c>
      <c r="H94" s="18" t="n">
        <v>3275</v>
      </c>
      <c r="I94" s="19">
        <f>H94/G94</f>
        <v/>
      </c>
      <c r="J94" s="18">
        <f>H94*(1-Assumptions!$B$4)</f>
        <v/>
      </c>
      <c r="K94" s="20">
        <f>PMT(Assumptions!$B$2/12, 360, -G94*(1-Assumptions!$B$3))</f>
        <v/>
      </c>
      <c r="L94" s="20">
        <f>J94+K94</f>
        <v/>
      </c>
      <c r="M94" s="21">
        <f>IF(I94&gt;=0.01,50,IF(I94&gt;=0.0095,37,IF(I94&gt;=0.009,25,12)))</f>
        <v/>
      </c>
      <c r="N94" s="21">
        <f>IF(L94&gt;=2000,30,IF(L94&gt;=1000,20,IF(L94&gt;=500,10,5)))</f>
        <v/>
      </c>
      <c r="O94" s="21" t="n">
        <v>20</v>
      </c>
      <c r="P94" s="22">
        <f>M94+N94+O94</f>
        <v/>
      </c>
      <c r="Q94" s="16" t="inlineStr">
        <is>
          <t>A11893705</t>
        </is>
      </c>
      <c r="R94" s="16" t="inlineStr"/>
      <c r="S94" s="16" t="inlineStr"/>
    </row>
    <row r="95">
      <c r="A95" s="15">
        <f>HYPERLINK("https://www.google.com/search?q=A11951982+Miami+MLS+listing", "A11951982")</f>
        <v/>
      </c>
      <c r="B95" s="16" t="inlineStr">
        <is>
          <t>1786 NW 53rd St</t>
        </is>
      </c>
      <c r="C95" s="16" t="inlineStr">
        <is>
          <t>33142</t>
        </is>
      </c>
      <c r="D95" s="16" t="inlineStr">
        <is>
          <t>Miami-Dade County</t>
        </is>
      </c>
      <c r="E95" s="16" t="inlineStr">
        <is>
          <t>Duplex</t>
        </is>
      </c>
      <c r="F95" s="17" t="n">
        <v>2</v>
      </c>
      <c r="G95" s="18" t="n">
        <v>500000</v>
      </c>
      <c r="H95" s="18" t="n">
        <v>3290</v>
      </c>
      <c r="I95" s="19">
        <f>H95/G95</f>
        <v/>
      </c>
      <c r="J95" s="18">
        <f>H95*(1-Assumptions!$B$4)</f>
        <v/>
      </c>
      <c r="K95" s="20">
        <f>PMT(Assumptions!$B$2/12, 360, -G95*(1-Assumptions!$B$3))</f>
        <v/>
      </c>
      <c r="L95" s="20">
        <f>J95+K95</f>
        <v/>
      </c>
      <c r="M95" s="21">
        <f>IF(I95&gt;=0.01,50,IF(I95&gt;=0.0095,37,IF(I95&gt;=0.009,25,12)))</f>
        <v/>
      </c>
      <c r="N95" s="21">
        <f>IF(L95&gt;=2000,30,IF(L95&gt;=1000,20,IF(L95&gt;=500,10,5)))</f>
        <v/>
      </c>
      <c r="O95" s="21" t="n">
        <v>20</v>
      </c>
      <c r="P95" s="22">
        <f>M95+N95+O95</f>
        <v/>
      </c>
      <c r="Q95" s="16" t="inlineStr">
        <is>
          <t>A11951982</t>
        </is>
      </c>
      <c r="R95" s="16" t="inlineStr"/>
      <c r="S95" s="16" t="inlineStr"/>
    </row>
    <row r="96">
      <c r="A96" s="15">
        <f>HYPERLINK("https://www.google.com/search?q=A11787541+Miami+MLS+listing", "A11787541")</f>
        <v/>
      </c>
      <c r="B96" s="16" t="inlineStr">
        <is>
          <t>7803 NW Miami Pl</t>
        </is>
      </c>
      <c r="C96" s="16" t="inlineStr">
        <is>
          <t>33150</t>
        </is>
      </c>
      <c r="D96" s="16" t="inlineStr">
        <is>
          <t>Miami-Dade County</t>
        </is>
      </c>
      <c r="E96" s="16" t="inlineStr">
        <is>
          <t>Triplex</t>
        </is>
      </c>
      <c r="F96" s="17" t="n">
        <v>3</v>
      </c>
      <c r="G96" s="18" t="n">
        <v>550000</v>
      </c>
      <c r="H96" s="18" t="n">
        <v>3300</v>
      </c>
      <c r="I96" s="19">
        <f>H96/G96</f>
        <v/>
      </c>
      <c r="J96" s="18">
        <f>H96*(1-Assumptions!$B$4)</f>
        <v/>
      </c>
      <c r="K96" s="20">
        <f>PMT(Assumptions!$B$2/12, 360, -G96*(1-Assumptions!$B$3))</f>
        <v/>
      </c>
      <c r="L96" s="20">
        <f>J96+K96</f>
        <v/>
      </c>
      <c r="M96" s="21">
        <f>IF(I96&gt;=0.01,50,IF(I96&gt;=0.0095,37,IF(I96&gt;=0.009,25,12)))</f>
        <v/>
      </c>
      <c r="N96" s="21">
        <f>IF(L96&gt;=2000,30,IF(L96&gt;=1000,20,IF(L96&gt;=500,10,5)))</f>
        <v/>
      </c>
      <c r="O96" s="21" t="n">
        <v>20</v>
      </c>
      <c r="P96" s="22">
        <f>M96+N96+O96</f>
        <v/>
      </c>
      <c r="Q96" s="16" t="inlineStr">
        <is>
          <t>A11787541</t>
        </is>
      </c>
      <c r="R96" s="16" t="inlineStr"/>
      <c r="S96" s="16" t="inlineStr"/>
    </row>
    <row r="97">
      <c r="A97" s="15">
        <f>HYPERLINK("https://www.google.com/search?q=A11944493+Miami+MLS+listing", "A11944493")</f>
        <v/>
      </c>
      <c r="B97" s="16" t="inlineStr">
        <is>
          <t>36 NE 64th Ter</t>
        </is>
      </c>
      <c r="C97" s="16" t="inlineStr">
        <is>
          <t>33138</t>
        </is>
      </c>
      <c r="D97" s="16" t="inlineStr">
        <is>
          <t>Miami-Dade County</t>
        </is>
      </c>
      <c r="E97" s="16" t="inlineStr">
        <is>
          <t>Duplex</t>
        </is>
      </c>
      <c r="F97" s="17" t="n">
        <v>2</v>
      </c>
      <c r="G97" s="18" t="n">
        <v>739000</v>
      </c>
      <c r="H97" s="18" t="n">
        <v>2300</v>
      </c>
      <c r="I97" s="19">
        <f>H97/G97</f>
        <v/>
      </c>
      <c r="J97" s="18">
        <f>H97*(1-Assumptions!$B$4)</f>
        <v/>
      </c>
      <c r="K97" s="20">
        <f>PMT(Assumptions!$B$2/12, 360, -G97*(1-Assumptions!$B$3))</f>
        <v/>
      </c>
      <c r="L97" s="20">
        <f>J97+K97</f>
        <v/>
      </c>
      <c r="M97" s="21">
        <f>IF(I97&gt;=0.01,50,IF(I97&gt;=0.0095,37,IF(I97&gt;=0.009,25,12)))</f>
        <v/>
      </c>
      <c r="N97" s="21">
        <f>IF(L97&gt;=2000,30,IF(L97&gt;=1000,20,IF(L97&gt;=500,10,5)))</f>
        <v/>
      </c>
      <c r="O97" s="21" t="n">
        <v>20</v>
      </c>
      <c r="P97" s="22">
        <f>M97+N97+O97</f>
        <v/>
      </c>
      <c r="Q97" s="16" t="inlineStr">
        <is>
          <t>A11944493</t>
        </is>
      </c>
      <c r="R97" s="16" t="inlineStr"/>
      <c r="S97" s="16" t="inlineStr"/>
    </row>
    <row r="98">
      <c r="A98" s="15">
        <f>HYPERLINK("https://www.google.com/search?q=A11771367+Miami+MLS+listing", "A11771367")</f>
        <v/>
      </c>
      <c r="B98" s="16" t="inlineStr">
        <is>
          <t>1730 SW 72nd Ct</t>
        </is>
      </c>
      <c r="C98" s="16" t="inlineStr">
        <is>
          <t>33155</t>
        </is>
      </c>
      <c r="D98" s="16" t="inlineStr">
        <is>
          <t>Miami-Dade County</t>
        </is>
      </c>
      <c r="E98" s="16" t="inlineStr">
        <is>
          <t>Duplex</t>
        </is>
      </c>
      <c r="F98" s="17" t="n">
        <v>2</v>
      </c>
      <c r="G98" s="18" t="n">
        <v>899000</v>
      </c>
      <c r="H98" s="18" t="n">
        <v>2100</v>
      </c>
      <c r="I98" s="19">
        <f>H98/G98</f>
        <v/>
      </c>
      <c r="J98" s="18">
        <f>H98*(1-Assumptions!$B$4)</f>
        <v/>
      </c>
      <c r="K98" s="20">
        <f>PMT(Assumptions!$B$2/12, 360, -G98*(1-Assumptions!$B$3))</f>
        <v/>
      </c>
      <c r="L98" s="20">
        <f>J98+K98</f>
        <v/>
      </c>
      <c r="M98" s="21">
        <f>IF(I98&gt;=0.01,50,IF(I98&gt;=0.0095,37,IF(I98&gt;=0.009,25,12)))</f>
        <v/>
      </c>
      <c r="N98" s="21">
        <f>IF(L98&gt;=2000,30,IF(L98&gt;=1000,20,IF(L98&gt;=500,10,5)))</f>
        <v/>
      </c>
      <c r="O98" s="21" t="n">
        <v>20</v>
      </c>
      <c r="P98" s="22">
        <f>M98+N98+O98</f>
        <v/>
      </c>
      <c r="Q98" s="16" t="inlineStr">
        <is>
          <t>A11771367</t>
        </is>
      </c>
      <c r="R98" s="16" t="inlineStr"/>
      <c r="S98" s="16" t="inlineStr"/>
    </row>
    <row r="99">
      <c r="A99" s="15">
        <f>HYPERLINK("https://www.google.com/search?q=A11812109+Miami+MLS+listing", "A11812109")</f>
        <v/>
      </c>
      <c r="B99" s="16" t="inlineStr">
        <is>
          <t>901 SW 34th Ave</t>
        </is>
      </c>
      <c r="C99" s="16" t="inlineStr">
        <is>
          <t>33135</t>
        </is>
      </c>
      <c r="D99" s="16" t="inlineStr">
        <is>
          <t>Miami-Dade County</t>
        </is>
      </c>
      <c r="E99" s="16" t="inlineStr">
        <is>
          <t>Triplex</t>
        </is>
      </c>
      <c r="F99" s="17" t="n">
        <v>3</v>
      </c>
      <c r="G99" s="18" t="n">
        <v>650000</v>
      </c>
      <c r="H99" s="18" t="n">
        <v>2000</v>
      </c>
      <c r="I99" s="19">
        <f>H99/G99</f>
        <v/>
      </c>
      <c r="J99" s="18">
        <f>H99*(1-Assumptions!$B$4)</f>
        <v/>
      </c>
      <c r="K99" s="20">
        <f>PMT(Assumptions!$B$2/12, 360, -G99*(1-Assumptions!$B$3))</f>
        <v/>
      </c>
      <c r="L99" s="20">
        <f>J99+K99</f>
        <v/>
      </c>
      <c r="M99" s="21">
        <f>IF(I99&gt;=0.01,50,IF(I99&gt;=0.0095,37,IF(I99&gt;=0.009,25,12)))</f>
        <v/>
      </c>
      <c r="N99" s="21">
        <f>IF(L99&gt;=2000,30,IF(L99&gt;=1000,20,IF(L99&gt;=500,10,5)))</f>
        <v/>
      </c>
      <c r="O99" s="21" t="n">
        <v>20</v>
      </c>
      <c r="P99" s="22">
        <f>M99+N99+O99</f>
        <v/>
      </c>
      <c r="Q99" s="16" t="inlineStr">
        <is>
          <t>A11812109</t>
        </is>
      </c>
      <c r="R99" s="16" t="inlineStr"/>
      <c r="S99" s="16" t="inlineStr"/>
    </row>
    <row r="100">
      <c r="A100" s="15">
        <f>HYPERLINK("https://www.google.com/search?q=A11919729+Miami+MLS+listing", "A11919729")</f>
        <v/>
      </c>
      <c r="B100" s="16" t="inlineStr">
        <is>
          <t>105 NW 58th St</t>
        </is>
      </c>
      <c r="C100" s="16" t="inlineStr">
        <is>
          <t>33127</t>
        </is>
      </c>
      <c r="D100" s="16" t="inlineStr">
        <is>
          <t>Miami-Dade County</t>
        </is>
      </c>
      <c r="E100" s="16" t="inlineStr">
        <is>
          <t>Triplex</t>
        </is>
      </c>
      <c r="F100" s="17" t="n">
        <v>3</v>
      </c>
      <c r="G100" s="18" t="n">
        <v>599000</v>
      </c>
      <c r="H100" s="18" t="n">
        <v>1600</v>
      </c>
      <c r="I100" s="19">
        <f>H100/G100</f>
        <v/>
      </c>
      <c r="J100" s="18">
        <f>H100*(1-Assumptions!$B$4)</f>
        <v/>
      </c>
      <c r="K100" s="20">
        <f>PMT(Assumptions!$B$2/12, 360, -G100*(1-Assumptions!$B$3))</f>
        <v/>
      </c>
      <c r="L100" s="20">
        <f>J100+K100</f>
        <v/>
      </c>
      <c r="M100" s="21">
        <f>IF(I100&gt;=0.01,50,IF(I100&gt;=0.0095,37,IF(I100&gt;=0.009,25,12)))</f>
        <v/>
      </c>
      <c r="N100" s="21">
        <f>IF(L100&gt;=2000,30,IF(L100&gt;=1000,20,IF(L100&gt;=500,10,5)))</f>
        <v/>
      </c>
      <c r="O100" s="21" t="n">
        <v>20</v>
      </c>
      <c r="P100" s="22">
        <f>M100+N100+O100</f>
        <v/>
      </c>
      <c r="Q100" s="16" t="inlineStr">
        <is>
          <t>A11919729</t>
        </is>
      </c>
      <c r="R100" s="16" t="inlineStr"/>
      <c r="S100" s="16" t="inlineStr"/>
    </row>
    <row r="101">
      <c r="A101" s="15">
        <f>HYPERLINK("https://www.google.com/search?q=A11774460+Miami+MLS+listing", "A11774460")</f>
        <v/>
      </c>
      <c r="B101" s="16" t="inlineStr">
        <is>
          <t>870 NW 14th Ct</t>
        </is>
      </c>
      <c r="C101" s="16" t="inlineStr">
        <is>
          <t>33125</t>
        </is>
      </c>
      <c r="D101" s="16" t="inlineStr">
        <is>
          <t>Miami-Dade County</t>
        </is>
      </c>
      <c r="E101" s="16" t="inlineStr">
        <is>
          <t>Duplex</t>
        </is>
      </c>
      <c r="F101" s="17" t="n">
        <v>2</v>
      </c>
      <c r="G101" s="18" t="n">
        <v>949900</v>
      </c>
      <c r="H101" s="18" t="n">
        <v>1150</v>
      </c>
      <c r="I101" s="19">
        <f>H101/G101</f>
        <v/>
      </c>
      <c r="J101" s="18">
        <f>H101*(1-Assumptions!$B$4)</f>
        <v/>
      </c>
      <c r="K101" s="20">
        <f>PMT(Assumptions!$B$2/12, 360, -G101*(1-Assumptions!$B$3))</f>
        <v/>
      </c>
      <c r="L101" s="20">
        <f>J101+K101</f>
        <v/>
      </c>
      <c r="M101" s="21">
        <f>IF(I101&gt;=0.01,50,IF(I101&gt;=0.0095,37,IF(I101&gt;=0.009,25,12)))</f>
        <v/>
      </c>
      <c r="N101" s="21">
        <f>IF(L101&gt;=2000,30,IF(L101&gt;=1000,20,IF(L101&gt;=500,10,5)))</f>
        <v/>
      </c>
      <c r="O101" s="21" t="n">
        <v>20</v>
      </c>
      <c r="P101" s="22">
        <f>M101+N101+O101</f>
        <v/>
      </c>
      <c r="Q101" s="16" t="inlineStr">
        <is>
          <t>A11774460</t>
        </is>
      </c>
      <c r="R101" s="16" t="inlineStr"/>
      <c r="S101" s="16" t="inlineStr"/>
    </row>
    <row r="102">
      <c r="A102" s="15">
        <f>HYPERLINK("https://www.google.com/search?q=A11937161+Miami+MLS+listing", "A11937161")</f>
        <v/>
      </c>
      <c r="B102" s="16" t="inlineStr">
        <is>
          <t>1730 NW 16th St</t>
        </is>
      </c>
      <c r="C102" s="16" t="inlineStr">
        <is>
          <t>33125</t>
        </is>
      </c>
      <c r="D102" s="16" t="inlineStr">
        <is>
          <t>Miami-Dade County</t>
        </is>
      </c>
      <c r="E102" s="16" t="inlineStr">
        <is>
          <t>Duplex</t>
        </is>
      </c>
      <c r="F102" s="17" t="n">
        <v>2</v>
      </c>
      <c r="G102" s="18" t="n">
        <v>1375000</v>
      </c>
      <c r="H102" s="18" t="n">
        <v>1250</v>
      </c>
      <c r="I102" s="19">
        <f>H102/G102</f>
        <v/>
      </c>
      <c r="J102" s="18">
        <f>H102*(1-Assumptions!$B$4)</f>
        <v/>
      </c>
      <c r="K102" s="20">
        <f>PMT(Assumptions!$B$2/12, 360, -G102*(1-Assumptions!$B$3))</f>
        <v/>
      </c>
      <c r="L102" s="20">
        <f>J102+K102</f>
        <v/>
      </c>
      <c r="M102" s="21">
        <f>IF(I102&gt;=0.01,50,IF(I102&gt;=0.0095,37,IF(I102&gt;=0.009,25,12)))</f>
        <v/>
      </c>
      <c r="N102" s="21">
        <f>IF(L102&gt;=2000,30,IF(L102&gt;=1000,20,IF(L102&gt;=500,10,5)))</f>
        <v/>
      </c>
      <c r="O102" s="21" t="n">
        <v>20</v>
      </c>
      <c r="P102" s="22">
        <f>M102+N102+O102</f>
        <v/>
      </c>
      <c r="Q102" s="16" t="inlineStr">
        <is>
          <t>A11937161</t>
        </is>
      </c>
      <c r="R102" s="16" t="inlineStr"/>
      <c r="S102" s="16" t="inlineStr"/>
    </row>
    <row r="103">
      <c r="A103" s="15">
        <f>HYPERLINK("https://www.google.com/search?q=A11711590+Miami+MLS+listing", "A11711590")</f>
        <v/>
      </c>
      <c r="B103" s="16" t="inlineStr">
        <is>
          <t>5520 NE 1st Ct</t>
        </is>
      </c>
      <c r="C103" s="16" t="inlineStr">
        <is>
          <t>33137</t>
        </is>
      </c>
      <c r="D103" s="16" t="inlineStr">
        <is>
          <t>Miami-Dade County</t>
        </is>
      </c>
      <c r="E103" s="16" t="inlineStr">
        <is>
          <t>Fourplex</t>
        </is>
      </c>
      <c r="F103" s="17" t="n">
        <v>4</v>
      </c>
      <c r="G103" s="18" t="n">
        <v>1100000</v>
      </c>
      <c r="H103" s="18" t="n">
        <v>1400</v>
      </c>
      <c r="I103" s="19">
        <f>H103/G103</f>
        <v/>
      </c>
      <c r="J103" s="18">
        <f>H103*(1-Assumptions!$B$4)</f>
        <v/>
      </c>
      <c r="K103" s="20">
        <f>PMT(Assumptions!$B$2/12, 360, -G103*(1-Assumptions!$B$3))</f>
        <v/>
      </c>
      <c r="L103" s="20">
        <f>J103+K103</f>
        <v/>
      </c>
      <c r="M103" s="21">
        <f>IF(I103&gt;=0.01,50,IF(I103&gt;=0.0095,37,IF(I103&gt;=0.009,25,12)))</f>
        <v/>
      </c>
      <c r="N103" s="21">
        <f>IF(L103&gt;=2000,30,IF(L103&gt;=1000,20,IF(L103&gt;=500,10,5)))</f>
        <v/>
      </c>
      <c r="O103" s="21" t="n">
        <v>20</v>
      </c>
      <c r="P103" s="22">
        <f>M103+N103+O103</f>
        <v/>
      </c>
      <c r="Q103" s="16" t="inlineStr">
        <is>
          <t>A11711590</t>
        </is>
      </c>
      <c r="R103" s="16" t="inlineStr"/>
      <c r="S103" s="16" t="inlineStr"/>
    </row>
    <row r="104">
      <c r="A104" s="15">
        <f>HYPERLINK("https://www.google.com/search?q=A11879927+Miami+MLS+listing", "A11879927")</f>
        <v/>
      </c>
      <c r="B104" s="16" t="inlineStr">
        <is>
          <t>460 NE 132nd St</t>
        </is>
      </c>
      <c r="C104" s="16" t="inlineStr">
        <is>
          <t>33161</t>
        </is>
      </c>
      <c r="D104" s="16" t="inlineStr">
        <is>
          <t>Miami-Dade County</t>
        </is>
      </c>
      <c r="E104" s="16" t="inlineStr">
        <is>
          <t>Duplex</t>
        </is>
      </c>
      <c r="F104" s="17" t="n">
        <v>2</v>
      </c>
      <c r="G104" s="18" t="n">
        <v>685000</v>
      </c>
      <c r="H104" s="18" t="n">
        <v>1400</v>
      </c>
      <c r="I104" s="19">
        <f>H104/G104</f>
        <v/>
      </c>
      <c r="J104" s="18">
        <f>H104*(1-Assumptions!$B$4)</f>
        <v/>
      </c>
      <c r="K104" s="20">
        <f>PMT(Assumptions!$B$2/12, 360, -G104*(1-Assumptions!$B$3))</f>
        <v/>
      </c>
      <c r="L104" s="20">
        <f>J104+K104</f>
        <v/>
      </c>
      <c r="M104" s="21">
        <f>IF(I104&gt;=0.01,50,IF(I104&gt;=0.0095,37,IF(I104&gt;=0.009,25,12)))</f>
        <v/>
      </c>
      <c r="N104" s="21">
        <f>IF(L104&gt;=2000,30,IF(L104&gt;=1000,20,IF(L104&gt;=500,10,5)))</f>
        <v/>
      </c>
      <c r="O104" s="21" t="n">
        <v>20</v>
      </c>
      <c r="P104" s="22">
        <f>M104+N104+O104</f>
        <v/>
      </c>
      <c r="Q104" s="16" t="inlineStr">
        <is>
          <t>A11879927</t>
        </is>
      </c>
      <c r="R104" s="16" t="inlineStr"/>
      <c r="S104" s="16" t="inlineStr"/>
    </row>
    <row r="105">
      <c r="A105" s="15">
        <f>HYPERLINK("https://www.google.com/search?q=A11977900+Miami+MLS+listing", "A11977900")</f>
        <v/>
      </c>
      <c r="B105" s="16" t="inlineStr">
        <is>
          <t>118 NW 24th St</t>
        </is>
      </c>
      <c r="C105" s="16" t="inlineStr">
        <is>
          <t>33127</t>
        </is>
      </c>
      <c r="D105" s="16" t="inlineStr">
        <is>
          <t>Miami-Dade County</t>
        </is>
      </c>
      <c r="E105" s="16" t="inlineStr">
        <is>
          <t>Fourplex</t>
        </is>
      </c>
      <c r="F105" s="17" t="n">
        <v>4</v>
      </c>
      <c r="G105" s="18" t="n">
        <v>3950000</v>
      </c>
      <c r="H105" s="18" t="n">
        <v>1450</v>
      </c>
      <c r="I105" s="19">
        <f>H105/G105</f>
        <v/>
      </c>
      <c r="J105" s="18">
        <f>H105*(1-Assumptions!$B$4)</f>
        <v/>
      </c>
      <c r="K105" s="20">
        <f>PMT(Assumptions!$B$2/12, 360, -G105*(1-Assumptions!$B$3))</f>
        <v/>
      </c>
      <c r="L105" s="20">
        <f>J105+K105</f>
        <v/>
      </c>
      <c r="M105" s="21">
        <f>IF(I105&gt;=0.01,50,IF(I105&gt;=0.0095,37,IF(I105&gt;=0.009,25,12)))</f>
        <v/>
      </c>
      <c r="N105" s="21">
        <f>IF(L105&gt;=2000,30,IF(L105&gt;=1000,20,IF(L105&gt;=500,10,5)))</f>
        <v/>
      </c>
      <c r="O105" s="21" t="n">
        <v>20</v>
      </c>
      <c r="P105" s="22">
        <f>M105+N105+O105</f>
        <v/>
      </c>
      <c r="Q105" s="16" t="inlineStr">
        <is>
          <t>A11977900</t>
        </is>
      </c>
      <c r="R105" s="16" t="inlineStr"/>
      <c r="S105" s="16" t="inlineStr"/>
    </row>
    <row r="106">
      <c r="A106" s="15">
        <f>HYPERLINK("https://www.google.com/search?q=A11925954+Miami+MLS+listing", "A11925954")</f>
        <v/>
      </c>
      <c r="B106" s="16" t="inlineStr">
        <is>
          <t>5241 NW 11th Ave</t>
        </is>
      </c>
      <c r="C106" s="16" t="inlineStr">
        <is>
          <t>33127</t>
        </is>
      </c>
      <c r="D106" s="16" t="inlineStr">
        <is>
          <t>Miami-Dade County</t>
        </is>
      </c>
      <c r="E106" s="16" t="inlineStr">
        <is>
          <t>Duplex</t>
        </is>
      </c>
      <c r="F106" s="17" t="n">
        <v>2</v>
      </c>
      <c r="G106" s="18" t="n">
        <v>600000</v>
      </c>
      <c r="H106" s="18" t="n">
        <v>1500</v>
      </c>
      <c r="I106" s="19">
        <f>H106/G106</f>
        <v/>
      </c>
      <c r="J106" s="18">
        <f>H106*(1-Assumptions!$B$4)</f>
        <v/>
      </c>
      <c r="K106" s="20">
        <f>PMT(Assumptions!$B$2/12, 360, -G106*(1-Assumptions!$B$3))</f>
        <v/>
      </c>
      <c r="L106" s="20">
        <f>J106+K106</f>
        <v/>
      </c>
      <c r="M106" s="21">
        <f>IF(I106&gt;=0.01,50,IF(I106&gt;=0.0095,37,IF(I106&gt;=0.009,25,12)))</f>
        <v/>
      </c>
      <c r="N106" s="21">
        <f>IF(L106&gt;=2000,30,IF(L106&gt;=1000,20,IF(L106&gt;=500,10,5)))</f>
        <v/>
      </c>
      <c r="O106" s="21" t="n">
        <v>20</v>
      </c>
      <c r="P106" s="22">
        <f>M106+N106+O106</f>
        <v/>
      </c>
      <c r="Q106" s="16" t="inlineStr">
        <is>
          <t>A11925954</t>
        </is>
      </c>
      <c r="R106" s="16" t="inlineStr"/>
      <c r="S106" s="16" t="inlineStr"/>
    </row>
    <row r="107">
      <c r="A107" s="15">
        <f>HYPERLINK("https://www.google.com/search?q=A11958768+Miami+MLS+listing", "A11958768")</f>
        <v/>
      </c>
      <c r="B107" s="16" t="inlineStr">
        <is>
          <t>1736 NW 19th St</t>
        </is>
      </c>
      <c r="C107" s="16" t="inlineStr">
        <is>
          <t>33125</t>
        </is>
      </c>
      <c r="D107" s="16" t="inlineStr">
        <is>
          <t>Miami-Dade County</t>
        </is>
      </c>
      <c r="E107" s="16" t="inlineStr">
        <is>
          <t>Fourplex</t>
        </is>
      </c>
      <c r="F107" s="17" t="n">
        <v>4</v>
      </c>
      <c r="G107" s="18" t="n">
        <v>1825000</v>
      </c>
      <c r="H107" s="18" t="n">
        <v>1600</v>
      </c>
      <c r="I107" s="19">
        <f>H107/G107</f>
        <v/>
      </c>
      <c r="J107" s="18">
        <f>H107*(1-Assumptions!$B$4)</f>
        <v/>
      </c>
      <c r="K107" s="20">
        <f>PMT(Assumptions!$B$2/12, 360, -G107*(1-Assumptions!$B$3))</f>
        <v/>
      </c>
      <c r="L107" s="20">
        <f>J107+K107</f>
        <v/>
      </c>
      <c r="M107" s="21">
        <f>IF(I107&gt;=0.01,50,IF(I107&gt;=0.0095,37,IF(I107&gt;=0.009,25,12)))</f>
        <v/>
      </c>
      <c r="N107" s="21">
        <f>IF(L107&gt;=2000,30,IF(L107&gt;=1000,20,IF(L107&gt;=500,10,5)))</f>
        <v/>
      </c>
      <c r="O107" s="21" t="n">
        <v>20</v>
      </c>
      <c r="P107" s="22">
        <f>M107+N107+O107</f>
        <v/>
      </c>
      <c r="Q107" s="16" t="inlineStr">
        <is>
          <t>A11958768</t>
        </is>
      </c>
      <c r="R107" s="16" t="inlineStr"/>
      <c r="S107" s="16" t="inlineStr"/>
    </row>
    <row r="108">
      <c r="A108" s="15">
        <f>HYPERLINK("https://www.google.com/search?q=A11948493+Miami+MLS+listing", "A11948493")</f>
        <v/>
      </c>
      <c r="B108" s="16" t="inlineStr">
        <is>
          <t>959 SW 6th St</t>
        </is>
      </c>
      <c r="C108" s="16" t="inlineStr">
        <is>
          <t>33130</t>
        </is>
      </c>
      <c r="D108" s="16" t="inlineStr">
        <is>
          <t>Miami-Dade County</t>
        </is>
      </c>
      <c r="E108" s="16" t="inlineStr">
        <is>
          <t>Fourplex</t>
        </is>
      </c>
      <c r="F108" s="17" t="n">
        <v>4</v>
      </c>
      <c r="G108" s="18" t="n">
        <v>1200000</v>
      </c>
      <c r="H108" s="18" t="n">
        <v>2000</v>
      </c>
      <c r="I108" s="19">
        <f>H108/G108</f>
        <v/>
      </c>
      <c r="J108" s="18">
        <f>H108*(1-Assumptions!$B$4)</f>
        <v/>
      </c>
      <c r="K108" s="20">
        <f>PMT(Assumptions!$B$2/12, 360, -G108*(1-Assumptions!$B$3))</f>
        <v/>
      </c>
      <c r="L108" s="20">
        <f>J108+K108</f>
        <v/>
      </c>
      <c r="M108" s="21">
        <f>IF(I108&gt;=0.01,50,IF(I108&gt;=0.0095,37,IF(I108&gt;=0.009,25,12)))</f>
        <v/>
      </c>
      <c r="N108" s="21">
        <f>IF(L108&gt;=2000,30,IF(L108&gt;=1000,20,IF(L108&gt;=500,10,5)))</f>
        <v/>
      </c>
      <c r="O108" s="21" t="n">
        <v>20</v>
      </c>
      <c r="P108" s="22">
        <f>M108+N108+O108</f>
        <v/>
      </c>
      <c r="Q108" s="16" t="inlineStr">
        <is>
          <t>A11948493</t>
        </is>
      </c>
      <c r="R108" s="16" t="inlineStr"/>
      <c r="S108" s="16" t="inlineStr"/>
    </row>
    <row r="109">
      <c r="A109" s="15">
        <f>HYPERLINK("https://www.google.com/search?q=A11914048+Miami+MLS+listing", "A11914048")</f>
        <v/>
      </c>
      <c r="B109" s="16" t="inlineStr">
        <is>
          <t>3000 NW 5th St</t>
        </is>
      </c>
      <c r="C109" s="16" t="inlineStr">
        <is>
          <t>33125</t>
        </is>
      </c>
      <c r="D109" s="16" t="inlineStr">
        <is>
          <t>Miami-Dade County</t>
        </is>
      </c>
      <c r="E109" s="16" t="inlineStr">
        <is>
          <t>Duplex</t>
        </is>
      </c>
      <c r="F109" s="17" t="n">
        <v>2</v>
      </c>
      <c r="G109" s="18" t="n">
        <v>625000</v>
      </c>
      <c r="H109" s="18" t="n">
        <v>1650</v>
      </c>
      <c r="I109" s="19">
        <f>H109/G109</f>
        <v/>
      </c>
      <c r="J109" s="18">
        <f>H109*(1-Assumptions!$B$4)</f>
        <v/>
      </c>
      <c r="K109" s="20">
        <f>PMT(Assumptions!$B$2/12, 360, -G109*(1-Assumptions!$B$3))</f>
        <v/>
      </c>
      <c r="L109" s="20">
        <f>J109+K109</f>
        <v/>
      </c>
      <c r="M109" s="21">
        <f>IF(I109&gt;=0.01,50,IF(I109&gt;=0.0095,37,IF(I109&gt;=0.009,25,12)))</f>
        <v/>
      </c>
      <c r="N109" s="21">
        <f>IF(L109&gt;=2000,30,IF(L109&gt;=1000,20,IF(L109&gt;=500,10,5)))</f>
        <v/>
      </c>
      <c r="O109" s="21" t="n">
        <v>20</v>
      </c>
      <c r="P109" s="22">
        <f>M109+N109+O109</f>
        <v/>
      </c>
      <c r="Q109" s="16" t="inlineStr">
        <is>
          <t>A11914048</t>
        </is>
      </c>
      <c r="R109" s="16" t="inlineStr"/>
      <c r="S109" s="16" t="inlineStr"/>
    </row>
    <row r="110">
      <c r="A110" s="15">
        <f>HYPERLINK("https://www.google.com/search?q=A11958518+Miami+MLS+listing", "A11958518")</f>
        <v/>
      </c>
      <c r="B110" s="16" t="inlineStr">
        <is>
          <t>1716 NW 19th St</t>
        </is>
      </c>
      <c r="C110" s="16" t="inlineStr">
        <is>
          <t>33125</t>
        </is>
      </c>
      <c r="D110" s="16" t="inlineStr">
        <is>
          <t>Miami-Dade County</t>
        </is>
      </c>
      <c r="E110" s="16" t="inlineStr">
        <is>
          <t>Fourplex</t>
        </is>
      </c>
      <c r="F110" s="17" t="n">
        <v>4</v>
      </c>
      <c r="G110" s="18" t="n">
        <v>1825000</v>
      </c>
      <c r="H110" s="18" t="n">
        <v>1700</v>
      </c>
      <c r="I110" s="19">
        <f>H110/G110</f>
        <v/>
      </c>
      <c r="J110" s="18">
        <f>H110*(1-Assumptions!$B$4)</f>
        <v/>
      </c>
      <c r="K110" s="20">
        <f>PMT(Assumptions!$B$2/12, 360, -G110*(1-Assumptions!$B$3))</f>
        <v/>
      </c>
      <c r="L110" s="20">
        <f>J110+K110</f>
        <v/>
      </c>
      <c r="M110" s="21">
        <f>IF(I110&gt;=0.01,50,IF(I110&gt;=0.0095,37,IF(I110&gt;=0.009,25,12)))</f>
        <v/>
      </c>
      <c r="N110" s="21">
        <f>IF(L110&gt;=2000,30,IF(L110&gt;=1000,20,IF(L110&gt;=500,10,5)))</f>
        <v/>
      </c>
      <c r="O110" s="21" t="n">
        <v>20</v>
      </c>
      <c r="P110" s="22">
        <f>M110+N110+O110</f>
        <v/>
      </c>
      <c r="Q110" s="16" t="inlineStr">
        <is>
          <t>A11958518</t>
        </is>
      </c>
      <c r="R110" s="16" t="inlineStr"/>
      <c r="S110" s="16" t="inlineStr"/>
    </row>
    <row r="111">
      <c r="A111" s="15">
        <f>HYPERLINK("https://www.google.com/search?q=A11855983+Miami+MLS+listing", "A11855983")</f>
        <v/>
      </c>
      <c r="B111" s="16" t="inlineStr">
        <is>
          <t>801 NW 105th St</t>
        </is>
      </c>
      <c r="C111" s="16" t="inlineStr">
        <is>
          <t>33150</t>
        </is>
      </c>
      <c r="D111" s="16" t="inlineStr">
        <is>
          <t>Miami-Dade County</t>
        </is>
      </c>
      <c r="E111" s="16" t="inlineStr">
        <is>
          <t>Duplex</t>
        </is>
      </c>
      <c r="F111" s="17" t="n">
        <v>2</v>
      </c>
      <c r="G111" s="18" t="n">
        <v>490000</v>
      </c>
      <c r="H111" s="18" t="n">
        <v>1750</v>
      </c>
      <c r="I111" s="19">
        <f>H111/G111</f>
        <v/>
      </c>
      <c r="J111" s="18">
        <f>H111*(1-Assumptions!$B$4)</f>
        <v/>
      </c>
      <c r="K111" s="20">
        <f>PMT(Assumptions!$B$2/12, 360, -G111*(1-Assumptions!$B$3))</f>
        <v/>
      </c>
      <c r="L111" s="20">
        <f>J111+K111</f>
        <v/>
      </c>
      <c r="M111" s="21">
        <f>IF(I111&gt;=0.01,50,IF(I111&gt;=0.0095,37,IF(I111&gt;=0.009,25,12)))</f>
        <v/>
      </c>
      <c r="N111" s="21">
        <f>IF(L111&gt;=2000,30,IF(L111&gt;=1000,20,IF(L111&gt;=500,10,5)))</f>
        <v/>
      </c>
      <c r="O111" s="21" t="n">
        <v>20</v>
      </c>
      <c r="P111" s="22">
        <f>M111+N111+O111</f>
        <v/>
      </c>
      <c r="Q111" s="16" t="inlineStr">
        <is>
          <t>A11855983</t>
        </is>
      </c>
      <c r="R111" s="16" t="inlineStr"/>
      <c r="S111" s="16" t="inlineStr"/>
    </row>
    <row r="112">
      <c r="A112" s="15">
        <f>HYPERLINK("https://www.google.com/search?q=A11866495+Miami+MLS+listing", "A11866495")</f>
        <v/>
      </c>
      <c r="B112" s="16" t="inlineStr">
        <is>
          <t>327 SW 13th Ave</t>
        </is>
      </c>
      <c r="C112" s="16" t="inlineStr">
        <is>
          <t>33135</t>
        </is>
      </c>
      <c r="D112" s="16" t="inlineStr">
        <is>
          <t>Miami-Dade County</t>
        </is>
      </c>
      <c r="E112" s="16" t="inlineStr">
        <is>
          <t>Fourplex</t>
        </is>
      </c>
      <c r="F112" s="17" t="n">
        <v>4</v>
      </c>
      <c r="G112" s="18" t="n">
        <v>1250000</v>
      </c>
      <c r="H112" s="18" t="n">
        <v>1750</v>
      </c>
      <c r="I112" s="19">
        <f>H112/G112</f>
        <v/>
      </c>
      <c r="J112" s="18">
        <f>H112*(1-Assumptions!$B$4)</f>
        <v/>
      </c>
      <c r="K112" s="20">
        <f>PMT(Assumptions!$B$2/12, 360, -G112*(1-Assumptions!$B$3))</f>
        <v/>
      </c>
      <c r="L112" s="20">
        <f>J112+K112</f>
        <v/>
      </c>
      <c r="M112" s="21">
        <f>IF(I112&gt;=0.01,50,IF(I112&gt;=0.0095,37,IF(I112&gt;=0.009,25,12)))</f>
        <v/>
      </c>
      <c r="N112" s="21">
        <f>IF(L112&gt;=2000,30,IF(L112&gt;=1000,20,IF(L112&gt;=500,10,5)))</f>
        <v/>
      </c>
      <c r="O112" s="21" t="n">
        <v>20</v>
      </c>
      <c r="P112" s="22">
        <f>M112+N112+O112</f>
        <v/>
      </c>
      <c r="Q112" s="16" t="inlineStr">
        <is>
          <t>A11866495</t>
        </is>
      </c>
      <c r="R112" s="16" t="inlineStr"/>
      <c r="S112" s="16" t="inlineStr"/>
    </row>
    <row r="113">
      <c r="A113" s="15">
        <f>HYPERLINK("https://www.google.com/search?q=A11780304+Miami+MLS+listing", "A11780304")</f>
        <v/>
      </c>
      <c r="B113" s="16" t="inlineStr">
        <is>
          <t>5204 N Miami Ave</t>
        </is>
      </c>
      <c r="C113" s="16" t="inlineStr">
        <is>
          <t>33127</t>
        </is>
      </c>
      <c r="D113" s="16" t="inlineStr">
        <is>
          <t>Miami-Dade County</t>
        </is>
      </c>
      <c r="E113" s="16" t="inlineStr">
        <is>
          <t>Fourplex</t>
        </is>
      </c>
      <c r="F113" s="17" t="n">
        <v>4</v>
      </c>
      <c r="G113" s="18" t="n">
        <v>1600000</v>
      </c>
      <c r="H113" s="18" t="n">
        <v>1800</v>
      </c>
      <c r="I113" s="19">
        <f>H113/G113</f>
        <v/>
      </c>
      <c r="J113" s="18">
        <f>H113*(1-Assumptions!$B$4)</f>
        <v/>
      </c>
      <c r="K113" s="20">
        <f>PMT(Assumptions!$B$2/12, 360, -G113*(1-Assumptions!$B$3))</f>
        <v/>
      </c>
      <c r="L113" s="20">
        <f>J113+K113</f>
        <v/>
      </c>
      <c r="M113" s="21">
        <f>IF(I113&gt;=0.01,50,IF(I113&gt;=0.0095,37,IF(I113&gt;=0.009,25,12)))</f>
        <v/>
      </c>
      <c r="N113" s="21">
        <f>IF(L113&gt;=2000,30,IF(L113&gt;=1000,20,IF(L113&gt;=500,10,5)))</f>
        <v/>
      </c>
      <c r="O113" s="21" t="n">
        <v>20</v>
      </c>
      <c r="P113" s="22">
        <f>M113+N113+O113</f>
        <v/>
      </c>
      <c r="Q113" s="16" t="inlineStr">
        <is>
          <t>A11780304</t>
        </is>
      </c>
      <c r="R113" s="16" t="inlineStr"/>
      <c r="S113" s="16" t="inlineStr"/>
    </row>
    <row r="114">
      <c r="A114" s="15">
        <f>HYPERLINK("https://www.google.com/search?q=A11843970+Miami+MLS+listing", "A11843970")</f>
        <v/>
      </c>
      <c r="B114" s="16" t="inlineStr">
        <is>
          <t>13525 NE 6th Ave</t>
        </is>
      </c>
      <c r="C114" s="16" t="inlineStr">
        <is>
          <t>33161</t>
        </is>
      </c>
      <c r="D114" s="16" t="inlineStr">
        <is>
          <t>Miami-Dade County</t>
        </is>
      </c>
      <c r="E114" s="16" t="inlineStr">
        <is>
          <t>Duplex</t>
        </is>
      </c>
      <c r="F114" s="17" t="n">
        <v>2</v>
      </c>
      <c r="G114" s="18" t="n">
        <v>519900</v>
      </c>
      <c r="H114" s="18" t="n">
        <v>1900</v>
      </c>
      <c r="I114" s="19">
        <f>H114/G114</f>
        <v/>
      </c>
      <c r="J114" s="18">
        <f>H114*(1-Assumptions!$B$4)</f>
        <v/>
      </c>
      <c r="K114" s="20">
        <f>PMT(Assumptions!$B$2/12, 360, -G114*(1-Assumptions!$B$3))</f>
        <v/>
      </c>
      <c r="L114" s="20">
        <f>J114+K114</f>
        <v/>
      </c>
      <c r="M114" s="21">
        <f>IF(I114&gt;=0.01,50,IF(I114&gt;=0.0095,37,IF(I114&gt;=0.009,25,12)))</f>
        <v/>
      </c>
      <c r="N114" s="21">
        <f>IF(L114&gt;=2000,30,IF(L114&gt;=1000,20,IF(L114&gt;=500,10,5)))</f>
        <v/>
      </c>
      <c r="O114" s="21" t="n">
        <v>20</v>
      </c>
      <c r="P114" s="22">
        <f>M114+N114+O114</f>
        <v/>
      </c>
      <c r="Q114" s="16" t="inlineStr">
        <is>
          <t>A11843970</t>
        </is>
      </c>
      <c r="R114" s="16" t="inlineStr"/>
      <c r="S114" s="16" t="inlineStr"/>
    </row>
    <row r="115">
      <c r="A115" s="15">
        <f>HYPERLINK("https://www.google.com/search?q=A11939137+Miami+MLS+listing", "A11939137")</f>
        <v/>
      </c>
      <c r="B115" s="16" t="inlineStr">
        <is>
          <t>7031 NW 6th Ct</t>
        </is>
      </c>
      <c r="C115" s="16" t="inlineStr">
        <is>
          <t>33150</t>
        </is>
      </c>
      <c r="D115" s="16" t="inlineStr">
        <is>
          <t>Miami-Dade County</t>
        </is>
      </c>
      <c r="E115" s="16" t="inlineStr">
        <is>
          <t>Duplex</t>
        </is>
      </c>
      <c r="F115" s="17" t="n">
        <v>2</v>
      </c>
      <c r="G115" s="18" t="n">
        <v>495000</v>
      </c>
      <c r="H115" s="18" t="n">
        <v>3400</v>
      </c>
      <c r="I115" s="19">
        <f>H115/G115</f>
        <v/>
      </c>
      <c r="J115" s="18">
        <f>H115*(1-Assumptions!$B$4)</f>
        <v/>
      </c>
      <c r="K115" s="20">
        <f>PMT(Assumptions!$B$2/12, 360, -G115*(1-Assumptions!$B$3))</f>
        <v/>
      </c>
      <c r="L115" s="20">
        <f>J115+K115</f>
        <v/>
      </c>
      <c r="M115" s="21">
        <f>IF(I115&gt;=0.01,50,IF(I115&gt;=0.0095,37,IF(I115&gt;=0.009,25,12)))</f>
        <v/>
      </c>
      <c r="N115" s="21">
        <f>IF(L115&gt;=2000,30,IF(L115&gt;=1000,20,IF(L115&gt;=500,10,5)))</f>
        <v/>
      </c>
      <c r="O115" s="21" t="n">
        <v>20</v>
      </c>
      <c r="P115" s="22">
        <f>M115+N115+O115</f>
        <v/>
      </c>
      <c r="Q115" s="16" t="inlineStr">
        <is>
          <t>A11939137</t>
        </is>
      </c>
      <c r="R115" s="16" t="inlineStr"/>
      <c r="S115" s="16" t="inlineStr"/>
    </row>
    <row r="116">
      <c r="A116" s="15">
        <f>HYPERLINK("https://www.google.com/search?q=A11910883+Miami+MLS+listing", "A11910883")</f>
        <v/>
      </c>
      <c r="B116" s="16" t="inlineStr">
        <is>
          <t>1785 NW 56th St</t>
        </is>
      </c>
      <c r="C116" s="16" t="inlineStr">
        <is>
          <t>33142</t>
        </is>
      </c>
      <c r="D116" s="16" t="inlineStr">
        <is>
          <t>Miami-Dade County</t>
        </is>
      </c>
      <c r="E116" s="16" t="inlineStr">
        <is>
          <t>Duplex</t>
        </is>
      </c>
      <c r="F116" s="17" t="n">
        <v>2</v>
      </c>
      <c r="G116" s="18" t="n">
        <v>550000</v>
      </c>
      <c r="H116" s="18" t="n">
        <v>3400</v>
      </c>
      <c r="I116" s="19">
        <f>H116/G116</f>
        <v/>
      </c>
      <c r="J116" s="18">
        <f>H116*(1-Assumptions!$B$4)</f>
        <v/>
      </c>
      <c r="K116" s="20">
        <f>PMT(Assumptions!$B$2/12, 360, -G116*(1-Assumptions!$B$3))</f>
        <v/>
      </c>
      <c r="L116" s="20">
        <f>J116+K116</f>
        <v/>
      </c>
      <c r="M116" s="21">
        <f>IF(I116&gt;=0.01,50,IF(I116&gt;=0.0095,37,IF(I116&gt;=0.009,25,12)))</f>
        <v/>
      </c>
      <c r="N116" s="21">
        <f>IF(L116&gt;=2000,30,IF(L116&gt;=1000,20,IF(L116&gt;=500,10,5)))</f>
        <v/>
      </c>
      <c r="O116" s="21" t="n">
        <v>20</v>
      </c>
      <c r="P116" s="22">
        <f>M116+N116+O116</f>
        <v/>
      </c>
      <c r="Q116" s="16" t="inlineStr">
        <is>
          <t>A11910883</t>
        </is>
      </c>
      <c r="R116" s="16" t="inlineStr"/>
      <c r="S116" s="16" t="inlineStr"/>
    </row>
    <row r="117">
      <c r="A117" s="15">
        <f>HYPERLINK("https://www.google.com/search?q=A11935843+Miami+MLS+listing", "A11935843")</f>
        <v/>
      </c>
      <c r="B117" s="16" t="inlineStr">
        <is>
          <t>984 SW 6th St</t>
        </is>
      </c>
      <c r="C117" s="16" t="inlineStr">
        <is>
          <t>33130</t>
        </is>
      </c>
      <c r="D117" s="16" t="inlineStr">
        <is>
          <t>Miami-Dade County</t>
        </is>
      </c>
      <c r="E117" s="16" t="inlineStr">
        <is>
          <t>Duplex</t>
        </is>
      </c>
      <c r="F117" s="17" t="n">
        <v>2</v>
      </c>
      <c r="G117" s="18" t="n">
        <v>985000</v>
      </c>
      <c r="H117" s="18" t="n">
        <v>3450</v>
      </c>
      <c r="I117" s="19">
        <f>H117/G117</f>
        <v/>
      </c>
      <c r="J117" s="18">
        <f>H117*(1-Assumptions!$B$4)</f>
        <v/>
      </c>
      <c r="K117" s="20">
        <f>PMT(Assumptions!$B$2/12, 360, -G117*(1-Assumptions!$B$3))</f>
        <v/>
      </c>
      <c r="L117" s="20">
        <f>J117+K117</f>
        <v/>
      </c>
      <c r="M117" s="21">
        <f>IF(I117&gt;=0.01,50,IF(I117&gt;=0.0095,37,IF(I117&gt;=0.009,25,12)))</f>
        <v/>
      </c>
      <c r="N117" s="21">
        <f>IF(L117&gt;=2000,30,IF(L117&gt;=1000,20,IF(L117&gt;=500,10,5)))</f>
        <v/>
      </c>
      <c r="O117" s="21" t="n">
        <v>20</v>
      </c>
      <c r="P117" s="22">
        <f>M117+N117+O117</f>
        <v/>
      </c>
      <c r="Q117" s="16" t="inlineStr">
        <is>
          <t>A11935843</t>
        </is>
      </c>
      <c r="R117" s="16" t="inlineStr"/>
      <c r="S117" s="16" t="inlineStr"/>
    </row>
    <row r="118">
      <c r="A118" s="15">
        <f>HYPERLINK("https://www.google.com/search?q=A11870490+Miami+MLS+listing", "A11870490")</f>
        <v/>
      </c>
      <c r="B118" s="16" t="inlineStr">
        <is>
          <t>3410 SW 13th Ter</t>
        </is>
      </c>
      <c r="C118" s="16" t="inlineStr">
        <is>
          <t>33145</t>
        </is>
      </c>
      <c r="D118" s="16" t="inlineStr">
        <is>
          <t>Miami-Dade County</t>
        </is>
      </c>
      <c r="E118" s="16" t="inlineStr">
        <is>
          <t>Duplex</t>
        </is>
      </c>
      <c r="F118" s="17" t="n">
        <v>2</v>
      </c>
      <c r="G118" s="18" t="n">
        <v>725000</v>
      </c>
      <c r="H118" s="18" t="n">
        <v>4200</v>
      </c>
      <c r="I118" s="19">
        <f>H118/G118</f>
        <v/>
      </c>
      <c r="J118" s="18">
        <f>H118*(1-Assumptions!$B$4)</f>
        <v/>
      </c>
      <c r="K118" s="20">
        <f>PMT(Assumptions!$B$2/12, 360, -G118*(1-Assumptions!$B$3))</f>
        <v/>
      </c>
      <c r="L118" s="20">
        <f>J118+K118</f>
        <v/>
      </c>
      <c r="M118" s="21">
        <f>IF(I118&gt;=0.01,50,IF(I118&gt;=0.0095,37,IF(I118&gt;=0.009,25,12)))</f>
        <v/>
      </c>
      <c r="N118" s="21">
        <f>IF(L118&gt;=2000,30,IF(L118&gt;=1000,20,IF(L118&gt;=500,10,5)))</f>
        <v/>
      </c>
      <c r="O118" s="21" t="n">
        <v>20</v>
      </c>
      <c r="P118" s="22">
        <f>M118+N118+O118</f>
        <v/>
      </c>
      <c r="Q118" s="16" t="inlineStr">
        <is>
          <t>A11870490</t>
        </is>
      </c>
      <c r="R118" s="16" t="inlineStr"/>
      <c r="S118" s="16" t="inlineStr"/>
    </row>
    <row r="119">
      <c r="A119" s="15">
        <f>HYPERLINK("https://www.google.com/search?q=A11955346+Miami+MLS+listing", "A11955346")</f>
        <v/>
      </c>
      <c r="B119" s="16" t="inlineStr">
        <is>
          <t>5411 NW 6th Ave</t>
        </is>
      </c>
      <c r="C119" s="16" t="inlineStr">
        <is>
          <t>33127</t>
        </is>
      </c>
      <c r="D119" s="16" t="inlineStr">
        <is>
          <t>Miami-Dade County</t>
        </is>
      </c>
      <c r="E119" s="16" t="inlineStr">
        <is>
          <t>Duplex</t>
        </is>
      </c>
      <c r="F119" s="17" t="n">
        <v>2</v>
      </c>
      <c r="G119" s="18" t="n">
        <v>780000</v>
      </c>
      <c r="H119" s="18" t="n">
        <v>4100</v>
      </c>
      <c r="I119" s="19">
        <f>H119/G119</f>
        <v/>
      </c>
      <c r="J119" s="18">
        <f>H119*(1-Assumptions!$B$4)</f>
        <v/>
      </c>
      <c r="K119" s="20">
        <f>PMT(Assumptions!$B$2/12, 360, -G119*(1-Assumptions!$B$3))</f>
        <v/>
      </c>
      <c r="L119" s="20">
        <f>J119+K119</f>
        <v/>
      </c>
      <c r="M119" s="21">
        <f>IF(I119&gt;=0.01,50,IF(I119&gt;=0.0095,37,IF(I119&gt;=0.009,25,12)))</f>
        <v/>
      </c>
      <c r="N119" s="21">
        <f>IF(L119&gt;=2000,30,IF(L119&gt;=1000,20,IF(L119&gt;=500,10,5)))</f>
        <v/>
      </c>
      <c r="O119" s="21" t="n">
        <v>20</v>
      </c>
      <c r="P119" s="22">
        <f>M119+N119+O119</f>
        <v/>
      </c>
      <c r="Q119" s="16" t="inlineStr">
        <is>
          <t>A11955346</t>
        </is>
      </c>
      <c r="R119" s="16" t="inlineStr"/>
      <c r="S119" s="16" t="inlineStr"/>
    </row>
    <row r="120">
      <c r="A120" s="15">
        <f>HYPERLINK("https://www.google.com/search?q=A11942234+Miami+MLS+listing", "A11942234")</f>
        <v/>
      </c>
      <c r="B120" s="16" t="inlineStr">
        <is>
          <t>5752 NW 1st Ave</t>
        </is>
      </c>
      <c r="C120" s="16" t="inlineStr">
        <is>
          <t>33127</t>
        </is>
      </c>
      <c r="D120" s="16" t="inlineStr">
        <is>
          <t>Miami-Dade County</t>
        </is>
      </c>
      <c r="E120" s="16" t="inlineStr">
        <is>
          <t>Duplex</t>
        </is>
      </c>
      <c r="F120" s="17" t="n">
        <v>2</v>
      </c>
      <c r="G120" s="18" t="n">
        <v>535000</v>
      </c>
      <c r="H120" s="18" t="n">
        <v>4100</v>
      </c>
      <c r="I120" s="19">
        <f>H120/G120</f>
        <v/>
      </c>
      <c r="J120" s="18">
        <f>H120*(1-Assumptions!$B$4)</f>
        <v/>
      </c>
      <c r="K120" s="20">
        <f>PMT(Assumptions!$B$2/12, 360, -G120*(1-Assumptions!$B$3))</f>
        <v/>
      </c>
      <c r="L120" s="20">
        <f>J120+K120</f>
        <v/>
      </c>
      <c r="M120" s="21">
        <f>IF(I120&gt;=0.01,50,IF(I120&gt;=0.0095,37,IF(I120&gt;=0.009,25,12)))</f>
        <v/>
      </c>
      <c r="N120" s="21">
        <f>IF(L120&gt;=2000,30,IF(L120&gt;=1000,20,IF(L120&gt;=500,10,5)))</f>
        <v/>
      </c>
      <c r="O120" s="21" t="n">
        <v>20</v>
      </c>
      <c r="P120" s="22">
        <f>M120+N120+O120</f>
        <v/>
      </c>
      <c r="Q120" s="16" t="inlineStr">
        <is>
          <t>A11942234</t>
        </is>
      </c>
      <c r="R120" s="16" t="inlineStr"/>
      <c r="S120" s="16" t="inlineStr"/>
    </row>
    <row r="121">
      <c r="A121" s="15">
        <f>HYPERLINK("https://www.google.com/search?q=A11948497+Miami+MLS+listing", "A11948497")</f>
        <v/>
      </c>
      <c r="B121" s="16" t="inlineStr">
        <is>
          <t>1360 SW 14th St</t>
        </is>
      </c>
      <c r="C121" s="16" t="inlineStr">
        <is>
          <t>33145</t>
        </is>
      </c>
      <c r="D121" s="16" t="inlineStr">
        <is>
          <t>Miami-Dade County</t>
        </is>
      </c>
      <c r="E121" s="16" t="inlineStr">
        <is>
          <t>Fourplex</t>
        </is>
      </c>
      <c r="F121" s="17" t="n">
        <v>4</v>
      </c>
      <c r="G121" s="18" t="n">
        <v>1795000</v>
      </c>
      <c r="H121" s="18" t="n">
        <v>4100</v>
      </c>
      <c r="I121" s="19">
        <f>H121/G121</f>
        <v/>
      </c>
      <c r="J121" s="18">
        <f>H121*(1-Assumptions!$B$4)</f>
        <v/>
      </c>
      <c r="K121" s="20">
        <f>PMT(Assumptions!$B$2/12, 360, -G121*(1-Assumptions!$B$3))</f>
        <v/>
      </c>
      <c r="L121" s="20">
        <f>J121+K121</f>
        <v/>
      </c>
      <c r="M121" s="21">
        <f>IF(I121&gt;=0.01,50,IF(I121&gt;=0.0095,37,IF(I121&gt;=0.009,25,12)))</f>
        <v/>
      </c>
      <c r="N121" s="21">
        <f>IF(L121&gt;=2000,30,IF(L121&gt;=1000,20,IF(L121&gt;=500,10,5)))</f>
        <v/>
      </c>
      <c r="O121" s="21" t="n">
        <v>20</v>
      </c>
      <c r="P121" s="22">
        <f>M121+N121+O121</f>
        <v/>
      </c>
      <c r="Q121" s="16" t="inlineStr">
        <is>
          <t>A11948497</t>
        </is>
      </c>
      <c r="R121" s="16" t="inlineStr"/>
      <c r="S121" s="16" t="inlineStr"/>
    </row>
    <row r="122">
      <c r="A122" s="15">
        <f>HYPERLINK("https://www.google.com/search?q=A11971448+Miami+MLS+listing", "A11971448")</f>
        <v/>
      </c>
      <c r="B122" s="16" t="inlineStr">
        <is>
          <t>1827 NW 74th Ter</t>
        </is>
      </c>
      <c r="C122" s="16" t="inlineStr">
        <is>
          <t>33147</t>
        </is>
      </c>
      <c r="D122" s="16" t="inlineStr">
        <is>
          <t>Miami-Dade County</t>
        </is>
      </c>
      <c r="E122" s="16" t="inlineStr">
        <is>
          <t>Duplex</t>
        </is>
      </c>
      <c r="F122" s="17" t="n">
        <v>2</v>
      </c>
      <c r="G122" s="18" t="n">
        <v>595000</v>
      </c>
      <c r="H122" s="18" t="n">
        <v>4200</v>
      </c>
      <c r="I122" s="19">
        <f>H122/G122</f>
        <v/>
      </c>
      <c r="J122" s="18">
        <f>H122*(1-Assumptions!$B$4)</f>
        <v/>
      </c>
      <c r="K122" s="20">
        <f>PMT(Assumptions!$B$2/12, 360, -G122*(1-Assumptions!$B$3))</f>
        <v/>
      </c>
      <c r="L122" s="20">
        <f>J122+K122</f>
        <v/>
      </c>
      <c r="M122" s="21">
        <f>IF(I122&gt;=0.01,50,IF(I122&gt;=0.0095,37,IF(I122&gt;=0.009,25,12)))</f>
        <v/>
      </c>
      <c r="N122" s="21">
        <f>IF(L122&gt;=2000,30,IF(L122&gt;=1000,20,IF(L122&gt;=500,10,5)))</f>
        <v/>
      </c>
      <c r="O122" s="21" t="n">
        <v>20</v>
      </c>
      <c r="P122" s="22">
        <f>M122+N122+O122</f>
        <v/>
      </c>
      <c r="Q122" s="16" t="inlineStr">
        <is>
          <t>A11971448</t>
        </is>
      </c>
      <c r="R122" s="16" t="inlineStr"/>
      <c r="S122" s="16" t="inlineStr"/>
    </row>
    <row r="123">
      <c r="A123" s="15">
        <f>HYPERLINK("https://www.google.com/search?q=A11899571+Miami+MLS+listing", "A11899571")</f>
        <v/>
      </c>
      <c r="B123" s="16" t="inlineStr">
        <is>
          <t>250 NW 63rd Ct</t>
        </is>
      </c>
      <c r="C123" s="16" t="inlineStr">
        <is>
          <t>33126</t>
        </is>
      </c>
      <c r="D123" s="16" t="inlineStr">
        <is>
          <t>Miami-Dade County</t>
        </is>
      </c>
      <c r="E123" s="16" t="inlineStr">
        <is>
          <t>Triplex</t>
        </is>
      </c>
      <c r="F123" s="17" t="n">
        <v>3</v>
      </c>
      <c r="G123" s="18" t="n">
        <v>1325000</v>
      </c>
      <c r="H123" s="18" t="n">
        <v>4200</v>
      </c>
      <c r="I123" s="19">
        <f>H123/G123</f>
        <v/>
      </c>
      <c r="J123" s="18">
        <f>H123*(1-Assumptions!$B$4)</f>
        <v/>
      </c>
      <c r="K123" s="20">
        <f>PMT(Assumptions!$B$2/12, 360, -G123*(1-Assumptions!$B$3))</f>
        <v/>
      </c>
      <c r="L123" s="20">
        <f>J123+K123</f>
        <v/>
      </c>
      <c r="M123" s="21">
        <f>IF(I123&gt;=0.01,50,IF(I123&gt;=0.0095,37,IF(I123&gt;=0.009,25,12)))</f>
        <v/>
      </c>
      <c r="N123" s="21">
        <f>IF(L123&gt;=2000,30,IF(L123&gt;=1000,20,IF(L123&gt;=500,10,5)))</f>
        <v/>
      </c>
      <c r="O123" s="21" t="n">
        <v>20</v>
      </c>
      <c r="P123" s="22">
        <f>M123+N123+O123</f>
        <v/>
      </c>
      <c r="Q123" s="16" t="inlineStr">
        <is>
          <t>A11899571</t>
        </is>
      </c>
      <c r="R123" s="16" t="inlineStr"/>
      <c r="S123" s="16" t="inlineStr"/>
    </row>
    <row r="124">
      <c r="A124" s="15">
        <f>HYPERLINK("https://www.google.com/search?q=A11915652+Miami+MLS+listing", "A11915652")</f>
        <v/>
      </c>
      <c r="B124" s="16" t="inlineStr">
        <is>
          <t>2103 NW 57th St</t>
        </is>
      </c>
      <c r="C124" s="16" t="inlineStr">
        <is>
          <t>33142</t>
        </is>
      </c>
      <c r="D124" s="16" t="inlineStr">
        <is>
          <t>Miami-Dade County</t>
        </is>
      </c>
      <c r="E124" s="16" t="inlineStr">
        <is>
          <t>Duplex</t>
        </is>
      </c>
      <c r="F124" s="17" t="n">
        <v>2</v>
      </c>
      <c r="G124" s="18" t="n">
        <v>595000</v>
      </c>
      <c r="H124" s="18" t="n">
        <v>4200</v>
      </c>
      <c r="I124" s="19">
        <f>H124/G124</f>
        <v/>
      </c>
      <c r="J124" s="18">
        <f>H124*(1-Assumptions!$B$4)</f>
        <v/>
      </c>
      <c r="K124" s="20">
        <f>PMT(Assumptions!$B$2/12, 360, -G124*(1-Assumptions!$B$3))</f>
        <v/>
      </c>
      <c r="L124" s="20">
        <f>J124+K124</f>
        <v/>
      </c>
      <c r="M124" s="21">
        <f>IF(I124&gt;=0.01,50,IF(I124&gt;=0.0095,37,IF(I124&gt;=0.009,25,12)))</f>
        <v/>
      </c>
      <c r="N124" s="21">
        <f>IF(L124&gt;=2000,30,IF(L124&gt;=1000,20,IF(L124&gt;=500,10,5)))</f>
        <v/>
      </c>
      <c r="O124" s="21" t="n">
        <v>20</v>
      </c>
      <c r="P124" s="22">
        <f>M124+N124+O124</f>
        <v/>
      </c>
      <c r="Q124" s="16" t="inlineStr">
        <is>
          <t>A11915652</t>
        </is>
      </c>
      <c r="R124" s="16" t="inlineStr"/>
      <c r="S124" s="16" t="inlineStr"/>
    </row>
    <row r="125">
      <c r="A125" s="15">
        <f>HYPERLINK("https://www.google.com/search?q=A11850559+Miami+MLS+listing", "A11850559")</f>
        <v/>
      </c>
      <c r="B125" s="16" t="inlineStr">
        <is>
          <t>163 NW 18th Ct</t>
        </is>
      </c>
      <c r="C125" s="16" t="inlineStr">
        <is>
          <t>33125</t>
        </is>
      </c>
      <c r="D125" s="16" t="inlineStr">
        <is>
          <t>Miami-Dade County</t>
        </is>
      </c>
      <c r="E125" s="16" t="inlineStr">
        <is>
          <t>Triplex</t>
        </is>
      </c>
      <c r="F125" s="17" t="n">
        <v>3</v>
      </c>
      <c r="G125" s="18" t="n">
        <v>795000</v>
      </c>
      <c r="H125" s="18" t="n">
        <v>4200</v>
      </c>
      <c r="I125" s="19">
        <f>H125/G125</f>
        <v/>
      </c>
      <c r="J125" s="18">
        <f>H125*(1-Assumptions!$B$4)</f>
        <v/>
      </c>
      <c r="K125" s="20">
        <f>PMT(Assumptions!$B$2/12, 360, -G125*(1-Assumptions!$B$3))</f>
        <v/>
      </c>
      <c r="L125" s="20">
        <f>J125+K125</f>
        <v/>
      </c>
      <c r="M125" s="21">
        <f>IF(I125&gt;=0.01,50,IF(I125&gt;=0.0095,37,IF(I125&gt;=0.009,25,12)))</f>
        <v/>
      </c>
      <c r="N125" s="21">
        <f>IF(L125&gt;=2000,30,IF(L125&gt;=1000,20,IF(L125&gt;=500,10,5)))</f>
        <v/>
      </c>
      <c r="O125" s="21" t="n">
        <v>20</v>
      </c>
      <c r="P125" s="22">
        <f>M125+N125+O125</f>
        <v/>
      </c>
      <c r="Q125" s="16" t="inlineStr">
        <is>
          <t>A11850559</t>
        </is>
      </c>
      <c r="R125" s="16" t="inlineStr"/>
      <c r="S125" s="16" t="inlineStr"/>
    </row>
    <row r="126">
      <c r="A126" s="15">
        <f>HYPERLINK("https://www.google.com/search?q=A11899193+Miami+MLS+listing", "A11899193")</f>
        <v/>
      </c>
      <c r="B126" s="16" t="inlineStr">
        <is>
          <t>2400 NW 16th St Rd</t>
        </is>
      </c>
      <c r="C126" s="16" t="inlineStr">
        <is>
          <t>33125</t>
        </is>
      </c>
      <c r="D126" s="16" t="inlineStr">
        <is>
          <t>Miami-Dade County</t>
        </is>
      </c>
      <c r="E126" s="16" t="inlineStr">
        <is>
          <t>Fourplex</t>
        </is>
      </c>
      <c r="F126" s="17" t="n">
        <v>4</v>
      </c>
      <c r="G126" s="18" t="n">
        <v>9000000</v>
      </c>
      <c r="H126" s="18" t="n">
        <v>4000</v>
      </c>
      <c r="I126" s="19">
        <f>H126/G126</f>
        <v/>
      </c>
      <c r="J126" s="18">
        <f>H126*(1-Assumptions!$B$4)</f>
        <v/>
      </c>
      <c r="K126" s="20">
        <f>PMT(Assumptions!$B$2/12, 360, -G126*(1-Assumptions!$B$3))</f>
        <v/>
      </c>
      <c r="L126" s="20">
        <f>J126+K126</f>
        <v/>
      </c>
      <c r="M126" s="21">
        <f>IF(I126&gt;=0.01,50,IF(I126&gt;=0.0095,37,IF(I126&gt;=0.009,25,12)))</f>
        <v/>
      </c>
      <c r="N126" s="21">
        <f>IF(L126&gt;=2000,30,IF(L126&gt;=1000,20,IF(L126&gt;=500,10,5)))</f>
        <v/>
      </c>
      <c r="O126" s="21" t="n">
        <v>20</v>
      </c>
      <c r="P126" s="22">
        <f>M126+N126+O126</f>
        <v/>
      </c>
      <c r="Q126" s="16" t="inlineStr">
        <is>
          <t>A11899193</t>
        </is>
      </c>
      <c r="R126" s="16" t="inlineStr"/>
      <c r="S126" s="16" t="inlineStr"/>
    </row>
    <row r="127">
      <c r="A127" s="15">
        <f>HYPERLINK("https://www.google.com/search?q=A11958480+Miami+MLS+listing", "A11958480")</f>
        <v/>
      </c>
      <c r="B127" s="16" t="inlineStr">
        <is>
          <t>6745 NW 4th Ct</t>
        </is>
      </c>
      <c r="C127" s="16" t="inlineStr">
        <is>
          <t>33150</t>
        </is>
      </c>
      <c r="D127" s="16" t="inlineStr">
        <is>
          <t>Miami-Dade County</t>
        </is>
      </c>
      <c r="E127" s="16" t="inlineStr">
        <is>
          <t>Duplex</t>
        </is>
      </c>
      <c r="F127" s="17" t="n">
        <v>2</v>
      </c>
      <c r="G127" s="18" t="n">
        <v>640000</v>
      </c>
      <c r="H127" s="18" t="n">
        <v>4300</v>
      </c>
      <c r="I127" s="19">
        <f>H127/G127</f>
        <v/>
      </c>
      <c r="J127" s="18">
        <f>H127*(1-Assumptions!$B$4)</f>
        <v/>
      </c>
      <c r="K127" s="20">
        <f>PMT(Assumptions!$B$2/12, 360, -G127*(1-Assumptions!$B$3))</f>
        <v/>
      </c>
      <c r="L127" s="20">
        <f>J127+K127</f>
        <v/>
      </c>
      <c r="M127" s="21">
        <f>IF(I127&gt;=0.01,50,IF(I127&gt;=0.0095,37,IF(I127&gt;=0.009,25,12)))</f>
        <v/>
      </c>
      <c r="N127" s="21">
        <f>IF(L127&gt;=2000,30,IF(L127&gt;=1000,20,IF(L127&gt;=500,10,5)))</f>
        <v/>
      </c>
      <c r="O127" s="21" t="n">
        <v>20</v>
      </c>
      <c r="P127" s="22">
        <f>M127+N127+O127</f>
        <v/>
      </c>
      <c r="Q127" s="16" t="inlineStr">
        <is>
          <t>A11958480</t>
        </is>
      </c>
      <c r="R127" s="16" t="inlineStr"/>
      <c r="S127" s="16" t="inlineStr"/>
    </row>
    <row r="128">
      <c r="A128" s="15">
        <f>HYPERLINK("https://www.google.com/search?q=A11884900+Miami+MLS+listing", "A11884900")</f>
        <v/>
      </c>
      <c r="B128" s="16" t="inlineStr">
        <is>
          <t>4139 NW 23rd Ave</t>
        </is>
      </c>
      <c r="C128" s="16" t="inlineStr">
        <is>
          <t>33142</t>
        </is>
      </c>
      <c r="D128" s="16" t="inlineStr">
        <is>
          <t>Miami-Dade County</t>
        </is>
      </c>
      <c r="E128" s="16" t="inlineStr">
        <is>
          <t>Duplex</t>
        </is>
      </c>
      <c r="F128" s="17" t="n">
        <v>2</v>
      </c>
      <c r="G128" s="18" t="n">
        <v>559000</v>
      </c>
      <c r="H128" s="18" t="n">
        <v>4300</v>
      </c>
      <c r="I128" s="19">
        <f>H128/G128</f>
        <v/>
      </c>
      <c r="J128" s="18">
        <f>H128*(1-Assumptions!$B$4)</f>
        <v/>
      </c>
      <c r="K128" s="20">
        <f>PMT(Assumptions!$B$2/12, 360, -G128*(1-Assumptions!$B$3))</f>
        <v/>
      </c>
      <c r="L128" s="20">
        <f>J128+K128</f>
        <v/>
      </c>
      <c r="M128" s="21">
        <f>IF(I128&gt;=0.01,50,IF(I128&gt;=0.0095,37,IF(I128&gt;=0.009,25,12)))</f>
        <v/>
      </c>
      <c r="N128" s="21">
        <f>IF(L128&gt;=2000,30,IF(L128&gt;=1000,20,IF(L128&gt;=500,10,5)))</f>
        <v/>
      </c>
      <c r="O128" s="21" t="n">
        <v>20</v>
      </c>
      <c r="P128" s="22">
        <f>M128+N128+O128</f>
        <v/>
      </c>
      <c r="Q128" s="16" t="inlineStr">
        <is>
          <t>A11884900</t>
        </is>
      </c>
      <c r="R128" s="16" t="inlineStr"/>
      <c r="S128" s="16" t="inlineStr"/>
    </row>
    <row r="129">
      <c r="A129" s="15">
        <f>HYPERLINK("https://www.google.com/search?q=A11968486+Miami+MLS+listing", "A11968486")</f>
        <v/>
      </c>
      <c r="B129" s="16" t="inlineStr">
        <is>
          <t>3801 NW 23rd Ave</t>
        </is>
      </c>
      <c r="C129" s="16" t="inlineStr">
        <is>
          <t>33142</t>
        </is>
      </c>
      <c r="D129" s="16" t="inlineStr">
        <is>
          <t>Miami-Dade County</t>
        </is>
      </c>
      <c r="E129" s="16" t="inlineStr">
        <is>
          <t>Duplex</t>
        </is>
      </c>
      <c r="F129" s="17" t="n">
        <v>2</v>
      </c>
      <c r="G129" s="18" t="n">
        <v>650000</v>
      </c>
      <c r="H129" s="18" t="n">
        <v>4300</v>
      </c>
      <c r="I129" s="19">
        <f>H129/G129</f>
        <v/>
      </c>
      <c r="J129" s="18">
        <f>H129*(1-Assumptions!$B$4)</f>
        <v/>
      </c>
      <c r="K129" s="20">
        <f>PMT(Assumptions!$B$2/12, 360, -G129*(1-Assumptions!$B$3))</f>
        <v/>
      </c>
      <c r="L129" s="20">
        <f>J129+K129</f>
        <v/>
      </c>
      <c r="M129" s="21">
        <f>IF(I129&gt;=0.01,50,IF(I129&gt;=0.0095,37,IF(I129&gt;=0.009,25,12)))</f>
        <v/>
      </c>
      <c r="N129" s="21">
        <f>IF(L129&gt;=2000,30,IF(L129&gt;=1000,20,IF(L129&gt;=500,10,5)))</f>
        <v/>
      </c>
      <c r="O129" s="21" t="n">
        <v>20</v>
      </c>
      <c r="P129" s="22">
        <f>M129+N129+O129</f>
        <v/>
      </c>
      <c r="Q129" s="16" t="inlineStr">
        <is>
          <t>A11968486</t>
        </is>
      </c>
      <c r="R129" s="16" t="inlineStr"/>
      <c r="S129" s="16" t="inlineStr"/>
    </row>
    <row r="130">
      <c r="A130" s="15">
        <f>HYPERLINK("https://www.google.com/search?q=A11947333+Miami+MLS+listing", "A11947333")</f>
        <v/>
      </c>
      <c r="B130" s="16" t="inlineStr">
        <is>
          <t>1894 NW 53rd ST</t>
        </is>
      </c>
      <c r="C130" s="16" t="inlineStr">
        <is>
          <t>33142</t>
        </is>
      </c>
      <c r="D130" s="16" t="inlineStr">
        <is>
          <t>Miami-Dade County</t>
        </is>
      </c>
      <c r="E130" s="16" t="inlineStr">
        <is>
          <t>Duplex</t>
        </is>
      </c>
      <c r="F130" s="17" t="n">
        <v>2</v>
      </c>
      <c r="G130" s="18" t="n">
        <v>599000</v>
      </c>
      <c r="H130" s="18" t="n">
        <v>4350</v>
      </c>
      <c r="I130" s="19">
        <f>H130/G130</f>
        <v/>
      </c>
      <c r="J130" s="18">
        <f>H130*(1-Assumptions!$B$4)</f>
        <v/>
      </c>
      <c r="K130" s="20">
        <f>PMT(Assumptions!$B$2/12, 360, -G130*(1-Assumptions!$B$3))</f>
        <v/>
      </c>
      <c r="L130" s="20">
        <f>J130+K130</f>
        <v/>
      </c>
      <c r="M130" s="21">
        <f>IF(I130&gt;=0.01,50,IF(I130&gt;=0.0095,37,IF(I130&gt;=0.009,25,12)))</f>
        <v/>
      </c>
      <c r="N130" s="21">
        <f>IF(L130&gt;=2000,30,IF(L130&gt;=1000,20,IF(L130&gt;=500,10,5)))</f>
        <v/>
      </c>
      <c r="O130" s="21" t="n">
        <v>20</v>
      </c>
      <c r="P130" s="22">
        <f>M130+N130+O130</f>
        <v/>
      </c>
      <c r="Q130" s="16" t="inlineStr">
        <is>
          <t>A11947333</t>
        </is>
      </c>
      <c r="R130" s="16" t="inlineStr"/>
      <c r="S130" s="16" t="inlineStr"/>
    </row>
    <row r="131">
      <c r="A131" s="15">
        <f>HYPERLINK("https://www.google.com/search?q=A11944410+Miami+MLS+listing", "A11944410")</f>
        <v/>
      </c>
      <c r="B131" s="16" t="inlineStr">
        <is>
          <t>971 79th Ter</t>
        </is>
      </c>
      <c r="C131" s="16" t="inlineStr">
        <is>
          <t>33141</t>
        </is>
      </c>
      <c r="D131" s="16" t="inlineStr">
        <is>
          <t>Miami-Dade County</t>
        </is>
      </c>
      <c r="E131" s="16" t="inlineStr">
        <is>
          <t>Duplex</t>
        </is>
      </c>
      <c r="F131" s="17" t="n">
        <v>2</v>
      </c>
      <c r="G131" s="18" t="n">
        <v>945000</v>
      </c>
      <c r="H131" s="18" t="n">
        <v>4500</v>
      </c>
      <c r="I131" s="19">
        <f>H131/G131</f>
        <v/>
      </c>
      <c r="J131" s="18">
        <f>H131*(1-Assumptions!$B$4)</f>
        <v/>
      </c>
      <c r="K131" s="20">
        <f>PMT(Assumptions!$B$2/12, 360, -G131*(1-Assumptions!$B$3))</f>
        <v/>
      </c>
      <c r="L131" s="20">
        <f>J131+K131</f>
        <v/>
      </c>
      <c r="M131" s="21">
        <f>IF(I131&gt;=0.01,50,IF(I131&gt;=0.0095,37,IF(I131&gt;=0.009,25,12)))</f>
        <v/>
      </c>
      <c r="N131" s="21">
        <f>IF(L131&gt;=2000,30,IF(L131&gt;=1000,20,IF(L131&gt;=500,10,5)))</f>
        <v/>
      </c>
      <c r="O131" s="21" t="n">
        <v>20</v>
      </c>
      <c r="P131" s="22">
        <f>M131+N131+O131</f>
        <v/>
      </c>
      <c r="Q131" s="16" t="inlineStr">
        <is>
          <t>A11944410</t>
        </is>
      </c>
      <c r="R131" s="16" t="inlineStr"/>
      <c r="S131" s="16" t="inlineStr"/>
    </row>
    <row r="132">
      <c r="A132" s="15">
        <f>HYPERLINK("https://www.google.com/search?q=A11968657+Miami+MLS+listing", "A11968657")</f>
        <v/>
      </c>
      <c r="B132" s="16" t="inlineStr">
        <is>
          <t>1781 NW 19th St</t>
        </is>
      </c>
      <c r="C132" s="16" t="inlineStr">
        <is>
          <t>33125</t>
        </is>
      </c>
      <c r="D132" s="16" t="inlineStr">
        <is>
          <t>Miami-Dade County</t>
        </is>
      </c>
      <c r="E132" s="16" t="inlineStr">
        <is>
          <t>Duplex</t>
        </is>
      </c>
      <c r="F132" s="17" t="n">
        <v>2</v>
      </c>
      <c r="G132" s="18" t="n">
        <v>919500</v>
      </c>
      <c r="H132" s="18" t="n">
        <v>4500</v>
      </c>
      <c r="I132" s="19">
        <f>H132/G132</f>
        <v/>
      </c>
      <c r="J132" s="18">
        <f>H132*(1-Assumptions!$B$4)</f>
        <v/>
      </c>
      <c r="K132" s="20">
        <f>PMT(Assumptions!$B$2/12, 360, -G132*(1-Assumptions!$B$3))</f>
        <v/>
      </c>
      <c r="L132" s="20">
        <f>J132+K132</f>
        <v/>
      </c>
      <c r="M132" s="21">
        <f>IF(I132&gt;=0.01,50,IF(I132&gt;=0.0095,37,IF(I132&gt;=0.009,25,12)))</f>
        <v/>
      </c>
      <c r="N132" s="21">
        <f>IF(L132&gt;=2000,30,IF(L132&gt;=1000,20,IF(L132&gt;=500,10,5)))</f>
        <v/>
      </c>
      <c r="O132" s="21" t="n">
        <v>20</v>
      </c>
      <c r="P132" s="22">
        <f>M132+N132+O132</f>
        <v/>
      </c>
      <c r="Q132" s="16" t="inlineStr">
        <is>
          <t>A11968657</t>
        </is>
      </c>
      <c r="R132" s="16" t="inlineStr"/>
      <c r="S132" s="16" t="inlineStr"/>
    </row>
    <row r="133">
      <c r="A133" s="15">
        <f>HYPERLINK("https://www.google.com/search?q=A11970857+Miami+MLS+listing", "A11970857")</f>
        <v/>
      </c>
      <c r="B133" s="16" t="inlineStr">
        <is>
          <t>4140 NW 12th Ave</t>
        </is>
      </c>
      <c r="C133" s="16" t="inlineStr">
        <is>
          <t>33127</t>
        </is>
      </c>
      <c r="D133" s="16" t="inlineStr">
        <is>
          <t>Miami-Dade County</t>
        </is>
      </c>
      <c r="E133" s="16" t="inlineStr">
        <is>
          <t>Duplex</t>
        </is>
      </c>
      <c r="F133" s="17" t="n">
        <v>2</v>
      </c>
      <c r="G133" s="18" t="n">
        <v>650000</v>
      </c>
      <c r="H133" s="18" t="n">
        <v>4000</v>
      </c>
      <c r="I133" s="19">
        <f>H133/G133</f>
        <v/>
      </c>
      <c r="J133" s="18">
        <f>H133*(1-Assumptions!$B$4)</f>
        <v/>
      </c>
      <c r="K133" s="20">
        <f>PMT(Assumptions!$B$2/12, 360, -G133*(1-Assumptions!$B$3))</f>
        <v/>
      </c>
      <c r="L133" s="20">
        <f>J133+K133</f>
        <v/>
      </c>
      <c r="M133" s="21">
        <f>IF(I133&gt;=0.01,50,IF(I133&gt;=0.0095,37,IF(I133&gt;=0.009,25,12)))</f>
        <v/>
      </c>
      <c r="N133" s="21">
        <f>IF(L133&gt;=2000,30,IF(L133&gt;=1000,20,IF(L133&gt;=500,10,5)))</f>
        <v/>
      </c>
      <c r="O133" s="21" t="n">
        <v>20</v>
      </c>
      <c r="P133" s="22">
        <f>M133+N133+O133</f>
        <v/>
      </c>
      <c r="Q133" s="16" t="inlineStr">
        <is>
          <t>A11970857</t>
        </is>
      </c>
      <c r="R133" s="16" t="inlineStr"/>
      <c r="S133" s="16" t="inlineStr"/>
    </row>
    <row r="134">
      <c r="A134" s="15">
        <f>HYPERLINK("https://www.google.com/search?q=A11886684+Miami+MLS+listing", "A11886684")</f>
        <v/>
      </c>
      <c r="B134" s="16" t="inlineStr">
        <is>
          <t>2367 NW 82nd St</t>
        </is>
      </c>
      <c r="C134" s="16" t="inlineStr">
        <is>
          <t>33147</t>
        </is>
      </c>
      <c r="D134" s="16" t="inlineStr">
        <is>
          <t>Miami-Dade County</t>
        </is>
      </c>
      <c r="E134" s="16" t="inlineStr">
        <is>
          <t>Duplex</t>
        </is>
      </c>
      <c r="F134" s="17" t="n">
        <v>2</v>
      </c>
      <c r="G134" s="18" t="n">
        <v>569000</v>
      </c>
      <c r="H134" s="18" t="n">
        <v>4000</v>
      </c>
      <c r="I134" s="19">
        <f>H134/G134</f>
        <v/>
      </c>
      <c r="J134" s="18">
        <f>H134*(1-Assumptions!$B$4)</f>
        <v/>
      </c>
      <c r="K134" s="20">
        <f>PMT(Assumptions!$B$2/12, 360, -G134*(1-Assumptions!$B$3))</f>
        <v/>
      </c>
      <c r="L134" s="20">
        <f>J134+K134</f>
        <v/>
      </c>
      <c r="M134" s="21">
        <f>IF(I134&gt;=0.01,50,IF(I134&gt;=0.0095,37,IF(I134&gt;=0.009,25,12)))</f>
        <v/>
      </c>
      <c r="N134" s="21">
        <f>IF(L134&gt;=2000,30,IF(L134&gt;=1000,20,IF(L134&gt;=500,10,5)))</f>
        <v/>
      </c>
      <c r="O134" s="21" t="n">
        <v>20</v>
      </c>
      <c r="P134" s="22">
        <f>M134+N134+O134</f>
        <v/>
      </c>
      <c r="Q134" s="16" t="inlineStr">
        <is>
          <t>A11886684</t>
        </is>
      </c>
      <c r="R134" s="16" t="inlineStr"/>
      <c r="S134" s="16" t="inlineStr"/>
    </row>
    <row r="135">
      <c r="A135" s="15">
        <f>HYPERLINK("https://www.google.com/search?q=A11943786+Miami+MLS+listing", "A11943786")</f>
        <v/>
      </c>
      <c r="B135" s="16" t="inlineStr">
        <is>
          <t>2927 NW 60th St</t>
        </is>
      </c>
      <c r="C135" s="16" t="inlineStr">
        <is>
          <t>33142</t>
        </is>
      </c>
      <c r="D135" s="16" t="inlineStr">
        <is>
          <t>Miami-Dade County</t>
        </is>
      </c>
      <c r="E135" s="16" t="inlineStr">
        <is>
          <t>Duplex</t>
        </is>
      </c>
      <c r="F135" s="17" t="n">
        <v>2</v>
      </c>
      <c r="G135" s="18" t="n">
        <v>399000</v>
      </c>
      <c r="H135" s="18" t="n">
        <v>3450</v>
      </c>
      <c r="I135" s="19">
        <f>H135/G135</f>
        <v/>
      </c>
      <c r="J135" s="18">
        <f>H135*(1-Assumptions!$B$4)</f>
        <v/>
      </c>
      <c r="K135" s="20">
        <f>PMT(Assumptions!$B$2/12, 360, -G135*(1-Assumptions!$B$3))</f>
        <v/>
      </c>
      <c r="L135" s="20">
        <f>J135+K135</f>
        <v/>
      </c>
      <c r="M135" s="21">
        <f>IF(I135&gt;=0.01,50,IF(I135&gt;=0.0095,37,IF(I135&gt;=0.009,25,12)))</f>
        <v/>
      </c>
      <c r="N135" s="21">
        <f>IF(L135&gt;=2000,30,IF(L135&gt;=1000,20,IF(L135&gt;=500,10,5)))</f>
        <v/>
      </c>
      <c r="O135" s="21" t="n">
        <v>20</v>
      </c>
      <c r="P135" s="22">
        <f>M135+N135+O135</f>
        <v/>
      </c>
      <c r="Q135" s="16" t="inlineStr">
        <is>
          <t>A11943786</t>
        </is>
      </c>
      <c r="R135" s="16" t="inlineStr"/>
      <c r="S135" s="16" t="inlineStr"/>
    </row>
    <row r="136">
      <c r="A136" s="15">
        <f>HYPERLINK("https://www.google.com/search?q=A11885364+Miami+MLS+listing", "A11885364")</f>
        <v/>
      </c>
      <c r="B136" s="16" t="inlineStr">
        <is>
          <t>405 NW 64th St</t>
        </is>
      </c>
      <c r="C136" s="16" t="inlineStr">
        <is>
          <t>33150</t>
        </is>
      </c>
      <c r="D136" s="16" t="inlineStr">
        <is>
          <t>Miami-Dade County</t>
        </is>
      </c>
      <c r="E136" s="16" t="inlineStr">
        <is>
          <t>Triplex</t>
        </is>
      </c>
      <c r="F136" s="17" t="n">
        <v>3</v>
      </c>
      <c r="G136" s="18" t="n">
        <v>599000</v>
      </c>
      <c r="H136" s="18" t="n">
        <v>3650</v>
      </c>
      <c r="I136" s="19">
        <f>H136/G136</f>
        <v/>
      </c>
      <c r="J136" s="18">
        <f>H136*(1-Assumptions!$B$4)</f>
        <v/>
      </c>
      <c r="K136" s="20">
        <f>PMT(Assumptions!$B$2/12, 360, -G136*(1-Assumptions!$B$3))</f>
        <v/>
      </c>
      <c r="L136" s="20">
        <f>J136+K136</f>
        <v/>
      </c>
      <c r="M136" s="21">
        <f>IF(I136&gt;=0.01,50,IF(I136&gt;=0.0095,37,IF(I136&gt;=0.009,25,12)))</f>
        <v/>
      </c>
      <c r="N136" s="21">
        <f>IF(L136&gt;=2000,30,IF(L136&gt;=1000,20,IF(L136&gt;=500,10,5)))</f>
        <v/>
      </c>
      <c r="O136" s="21" t="n">
        <v>20</v>
      </c>
      <c r="P136" s="22">
        <f>M136+N136+O136</f>
        <v/>
      </c>
      <c r="Q136" s="16" t="inlineStr">
        <is>
          <t>A11885364</t>
        </is>
      </c>
      <c r="R136" s="16" t="inlineStr"/>
      <c r="S136" s="16" t="inlineStr"/>
    </row>
    <row r="137">
      <c r="A137" s="15">
        <f>HYPERLINK("https://www.google.com/search?q=A11930134+Miami+MLS+listing", "A11930134")</f>
        <v/>
      </c>
      <c r="B137" s="16" t="inlineStr">
        <is>
          <t>115 NW 56th Ave</t>
        </is>
      </c>
      <c r="C137" s="16" t="inlineStr">
        <is>
          <t>33126</t>
        </is>
      </c>
      <c r="D137" s="16" t="inlineStr">
        <is>
          <t>Miami-Dade County</t>
        </is>
      </c>
      <c r="E137" s="16" t="inlineStr">
        <is>
          <t>Duplex</t>
        </is>
      </c>
      <c r="F137" s="17" t="n">
        <v>2</v>
      </c>
      <c r="G137" s="18" t="n">
        <v>750000</v>
      </c>
      <c r="H137" s="18" t="n">
        <v>3500</v>
      </c>
      <c r="I137" s="19">
        <f>H137/G137</f>
        <v/>
      </c>
      <c r="J137" s="18">
        <f>H137*(1-Assumptions!$B$4)</f>
        <v/>
      </c>
      <c r="K137" s="20">
        <f>PMT(Assumptions!$B$2/12, 360, -G137*(1-Assumptions!$B$3))</f>
        <v/>
      </c>
      <c r="L137" s="20">
        <f>J137+K137</f>
        <v/>
      </c>
      <c r="M137" s="21">
        <f>IF(I137&gt;=0.01,50,IF(I137&gt;=0.0095,37,IF(I137&gt;=0.009,25,12)))</f>
        <v/>
      </c>
      <c r="N137" s="21">
        <f>IF(L137&gt;=2000,30,IF(L137&gt;=1000,20,IF(L137&gt;=500,10,5)))</f>
        <v/>
      </c>
      <c r="O137" s="21" t="n">
        <v>20</v>
      </c>
      <c r="P137" s="22">
        <f>M137+N137+O137</f>
        <v/>
      </c>
      <c r="Q137" s="16" t="inlineStr">
        <is>
          <t>A11930134</t>
        </is>
      </c>
      <c r="R137" s="16" t="inlineStr"/>
      <c r="S137" s="16" t="inlineStr"/>
    </row>
    <row r="138">
      <c r="A138" s="15">
        <f>HYPERLINK("https://www.google.com/search?q=A11912118+Miami+MLS+listing", "A11912118")</f>
        <v/>
      </c>
      <c r="B138" s="16" t="inlineStr">
        <is>
          <t>405 SW 11th Ave</t>
        </is>
      </c>
      <c r="C138" s="16" t="inlineStr">
        <is>
          <t>33130</t>
        </is>
      </c>
      <c r="D138" s="16" t="inlineStr">
        <is>
          <t>Miami-Dade County</t>
        </is>
      </c>
      <c r="E138" s="16" t="inlineStr">
        <is>
          <t>Duplex</t>
        </is>
      </c>
      <c r="F138" s="17" t="n">
        <v>2</v>
      </c>
      <c r="G138" s="18" t="n">
        <v>1399000</v>
      </c>
      <c r="H138" s="18" t="n">
        <v>3500</v>
      </c>
      <c r="I138" s="19">
        <f>H138/G138</f>
        <v/>
      </c>
      <c r="J138" s="18">
        <f>H138*(1-Assumptions!$B$4)</f>
        <v/>
      </c>
      <c r="K138" s="20">
        <f>PMT(Assumptions!$B$2/12, 360, -G138*(1-Assumptions!$B$3))</f>
        <v/>
      </c>
      <c r="L138" s="20">
        <f>J138+K138</f>
        <v/>
      </c>
      <c r="M138" s="21">
        <f>IF(I138&gt;=0.01,50,IF(I138&gt;=0.0095,37,IF(I138&gt;=0.009,25,12)))</f>
        <v/>
      </c>
      <c r="N138" s="21">
        <f>IF(L138&gt;=2000,30,IF(L138&gt;=1000,20,IF(L138&gt;=500,10,5)))</f>
        <v/>
      </c>
      <c r="O138" s="21" t="n">
        <v>20</v>
      </c>
      <c r="P138" s="22">
        <f>M138+N138+O138</f>
        <v/>
      </c>
      <c r="Q138" s="16" t="inlineStr">
        <is>
          <t>A11912118</t>
        </is>
      </c>
      <c r="R138" s="16" t="inlineStr"/>
      <c r="S138" s="16" t="inlineStr"/>
    </row>
    <row r="139">
      <c r="A139" s="15">
        <f>HYPERLINK("https://www.google.com/search?q=A11951063+Miami+MLS+listing", "A11951063")</f>
        <v/>
      </c>
      <c r="B139" s="16" t="inlineStr">
        <is>
          <t>655 NE 122nd St</t>
        </is>
      </c>
      <c r="C139" s="16" t="inlineStr">
        <is>
          <t>33161</t>
        </is>
      </c>
      <c r="D139" s="16" t="inlineStr">
        <is>
          <t>Miami-Dade County</t>
        </is>
      </c>
      <c r="E139" s="16" t="inlineStr">
        <is>
          <t>Duplex</t>
        </is>
      </c>
      <c r="F139" s="17" t="n">
        <v>2</v>
      </c>
      <c r="G139" s="18" t="n">
        <v>774900</v>
      </c>
      <c r="H139" s="18" t="n">
        <v>3550</v>
      </c>
      <c r="I139" s="19">
        <f>H139/G139</f>
        <v/>
      </c>
      <c r="J139" s="18">
        <f>H139*(1-Assumptions!$B$4)</f>
        <v/>
      </c>
      <c r="K139" s="20">
        <f>PMT(Assumptions!$B$2/12, 360, -G139*(1-Assumptions!$B$3))</f>
        <v/>
      </c>
      <c r="L139" s="20">
        <f>J139+K139</f>
        <v/>
      </c>
      <c r="M139" s="21">
        <f>IF(I139&gt;=0.01,50,IF(I139&gt;=0.0095,37,IF(I139&gt;=0.009,25,12)))</f>
        <v/>
      </c>
      <c r="N139" s="21">
        <f>IF(L139&gt;=2000,30,IF(L139&gt;=1000,20,IF(L139&gt;=500,10,5)))</f>
        <v/>
      </c>
      <c r="O139" s="21" t="n">
        <v>20</v>
      </c>
      <c r="P139" s="22">
        <f>M139+N139+O139</f>
        <v/>
      </c>
      <c r="Q139" s="16" t="inlineStr">
        <is>
          <t>A11951063</t>
        </is>
      </c>
      <c r="R139" s="16" t="inlineStr"/>
      <c r="S139" s="16" t="inlineStr"/>
    </row>
    <row r="140">
      <c r="A140" s="15">
        <f>HYPERLINK("https://www.google.com/search?q=A11921429+Miami+MLS+listing", "A11921429")</f>
        <v/>
      </c>
      <c r="B140" s="16" t="inlineStr">
        <is>
          <t>1845 NW 55th St</t>
        </is>
      </c>
      <c r="C140" s="16" t="inlineStr">
        <is>
          <t>33142</t>
        </is>
      </c>
      <c r="D140" s="16" t="inlineStr">
        <is>
          <t>Miami-Dade County</t>
        </is>
      </c>
      <c r="E140" s="16" t="inlineStr">
        <is>
          <t>Duplex</t>
        </is>
      </c>
      <c r="F140" s="17" t="n">
        <v>2</v>
      </c>
      <c r="G140" s="18" t="n">
        <v>595000</v>
      </c>
      <c r="H140" s="18" t="n">
        <v>3600</v>
      </c>
      <c r="I140" s="19">
        <f>H140/G140</f>
        <v/>
      </c>
      <c r="J140" s="18">
        <f>H140*(1-Assumptions!$B$4)</f>
        <v/>
      </c>
      <c r="K140" s="20">
        <f>PMT(Assumptions!$B$2/12, 360, -G140*(1-Assumptions!$B$3))</f>
        <v/>
      </c>
      <c r="L140" s="20">
        <f>J140+K140</f>
        <v/>
      </c>
      <c r="M140" s="21">
        <f>IF(I140&gt;=0.01,50,IF(I140&gt;=0.0095,37,IF(I140&gt;=0.009,25,12)))</f>
        <v/>
      </c>
      <c r="N140" s="21">
        <f>IF(L140&gt;=2000,30,IF(L140&gt;=1000,20,IF(L140&gt;=500,10,5)))</f>
        <v/>
      </c>
      <c r="O140" s="21" t="n">
        <v>20</v>
      </c>
      <c r="P140" s="22">
        <f>M140+N140+O140</f>
        <v/>
      </c>
      <c r="Q140" s="16" t="inlineStr">
        <is>
          <t>A11921429</t>
        </is>
      </c>
      <c r="R140" s="16" t="inlineStr"/>
      <c r="S140" s="16" t="inlineStr"/>
    </row>
    <row r="141">
      <c r="A141" s="15">
        <f>HYPERLINK("https://www.google.com/search?q=A11936414+Miami+MLS+listing", "A11936414")</f>
        <v/>
      </c>
      <c r="B141" s="16" t="inlineStr">
        <is>
          <t>5428 NW 13th Ave</t>
        </is>
      </c>
      <c r="C141" s="16" t="inlineStr">
        <is>
          <t>33142</t>
        </is>
      </c>
      <c r="D141" s="16" t="inlineStr">
        <is>
          <t>Miami-Dade County</t>
        </is>
      </c>
      <c r="E141" s="16" t="inlineStr">
        <is>
          <t>Duplex</t>
        </is>
      </c>
      <c r="F141" s="17" t="n">
        <v>2</v>
      </c>
      <c r="G141" s="18" t="n">
        <v>599900</v>
      </c>
      <c r="H141" s="18" t="n">
        <v>3600</v>
      </c>
      <c r="I141" s="19">
        <f>H141/G141</f>
        <v/>
      </c>
      <c r="J141" s="18">
        <f>H141*(1-Assumptions!$B$4)</f>
        <v/>
      </c>
      <c r="K141" s="20">
        <f>PMT(Assumptions!$B$2/12, 360, -G141*(1-Assumptions!$B$3))</f>
        <v/>
      </c>
      <c r="L141" s="20">
        <f>J141+K141</f>
        <v/>
      </c>
      <c r="M141" s="21">
        <f>IF(I141&gt;=0.01,50,IF(I141&gt;=0.0095,37,IF(I141&gt;=0.009,25,12)))</f>
        <v/>
      </c>
      <c r="N141" s="21">
        <f>IF(L141&gt;=2000,30,IF(L141&gt;=1000,20,IF(L141&gt;=500,10,5)))</f>
        <v/>
      </c>
      <c r="O141" s="21" t="n">
        <v>20</v>
      </c>
      <c r="P141" s="22">
        <f>M141+N141+O141</f>
        <v/>
      </c>
      <c r="Q141" s="16" t="inlineStr">
        <is>
          <t>A11936414</t>
        </is>
      </c>
      <c r="R141" s="16" t="inlineStr"/>
      <c r="S141" s="16" t="inlineStr"/>
    </row>
    <row r="142">
      <c r="A142" s="15">
        <f>HYPERLINK("https://www.google.com/search?q=A11929354+Miami+MLS+listing", "A11929354")</f>
        <v/>
      </c>
      <c r="B142" s="16" t="inlineStr">
        <is>
          <t>1345 Pennsylvania Ave</t>
        </is>
      </c>
      <c r="C142" s="16" t="inlineStr">
        <is>
          <t>33139</t>
        </is>
      </c>
      <c r="D142" s="16" t="inlineStr">
        <is>
          <t>Miami-Dade County</t>
        </is>
      </c>
      <c r="E142" s="16" t="inlineStr">
        <is>
          <t>Fourplex</t>
        </is>
      </c>
      <c r="F142" s="17" t="n">
        <v>4</v>
      </c>
      <c r="G142" s="18" t="n">
        <v>5100000</v>
      </c>
      <c r="H142" s="18" t="n">
        <v>3650</v>
      </c>
      <c r="I142" s="19">
        <f>H142/G142</f>
        <v/>
      </c>
      <c r="J142" s="18">
        <f>H142*(1-Assumptions!$B$4)</f>
        <v/>
      </c>
      <c r="K142" s="20">
        <f>PMT(Assumptions!$B$2/12, 360, -G142*(1-Assumptions!$B$3))</f>
        <v/>
      </c>
      <c r="L142" s="20">
        <f>J142+K142</f>
        <v/>
      </c>
      <c r="M142" s="21">
        <f>IF(I142&gt;=0.01,50,IF(I142&gt;=0.0095,37,IF(I142&gt;=0.009,25,12)))</f>
        <v/>
      </c>
      <c r="N142" s="21">
        <f>IF(L142&gt;=2000,30,IF(L142&gt;=1000,20,IF(L142&gt;=500,10,5)))</f>
        <v/>
      </c>
      <c r="O142" s="21" t="n">
        <v>20</v>
      </c>
      <c r="P142" s="22">
        <f>M142+N142+O142</f>
        <v/>
      </c>
      <c r="Q142" s="16" t="inlineStr">
        <is>
          <t>A11929354</t>
        </is>
      </c>
      <c r="R142" s="16" t="inlineStr"/>
      <c r="S142" s="16" t="inlineStr"/>
    </row>
    <row r="143">
      <c r="A143" s="15">
        <f>HYPERLINK("https://www.google.com/search?q=A11949606+Miami+MLS+listing", "A11949606")</f>
        <v/>
      </c>
      <c r="B143" s="16" t="inlineStr">
        <is>
          <t>8031 NW 12th Ct</t>
        </is>
      </c>
      <c r="C143" s="16" t="inlineStr">
        <is>
          <t>33147</t>
        </is>
      </c>
      <c r="D143" s="16" t="inlineStr">
        <is>
          <t>Miami-Dade County</t>
        </is>
      </c>
      <c r="E143" s="16" t="inlineStr">
        <is>
          <t>Duplex</t>
        </is>
      </c>
      <c r="F143" s="17" t="n">
        <v>2</v>
      </c>
      <c r="G143" s="18" t="n">
        <v>549000</v>
      </c>
      <c r="H143" s="18" t="n">
        <v>3650</v>
      </c>
      <c r="I143" s="19">
        <f>H143/G143</f>
        <v/>
      </c>
      <c r="J143" s="18">
        <f>H143*(1-Assumptions!$B$4)</f>
        <v/>
      </c>
      <c r="K143" s="20">
        <f>PMT(Assumptions!$B$2/12, 360, -G143*(1-Assumptions!$B$3))</f>
        <v/>
      </c>
      <c r="L143" s="20">
        <f>J143+K143</f>
        <v/>
      </c>
      <c r="M143" s="21">
        <f>IF(I143&gt;=0.01,50,IF(I143&gt;=0.0095,37,IF(I143&gt;=0.009,25,12)))</f>
        <v/>
      </c>
      <c r="N143" s="21">
        <f>IF(L143&gt;=2000,30,IF(L143&gt;=1000,20,IF(L143&gt;=500,10,5)))</f>
        <v/>
      </c>
      <c r="O143" s="21" t="n">
        <v>20</v>
      </c>
      <c r="P143" s="22">
        <f>M143+N143+O143</f>
        <v/>
      </c>
      <c r="Q143" s="16" t="inlineStr">
        <is>
          <t>A11949606</t>
        </is>
      </c>
      <c r="R143" s="16" t="inlineStr"/>
      <c r="S143" s="16" t="inlineStr"/>
    </row>
    <row r="144">
      <c r="A144" s="15">
        <f>HYPERLINK("https://www.google.com/search?q=A11972932+Miami+MLS+listing", "A11972932")</f>
        <v/>
      </c>
      <c r="B144" s="16" t="inlineStr">
        <is>
          <t>1563 NE 148th St</t>
        </is>
      </c>
      <c r="C144" s="16" t="inlineStr">
        <is>
          <t>33161</t>
        </is>
      </c>
      <c r="D144" s="16" t="inlineStr">
        <is>
          <t>Miami-Dade County</t>
        </is>
      </c>
      <c r="E144" s="16" t="inlineStr">
        <is>
          <t>Duplex</t>
        </is>
      </c>
      <c r="F144" s="17" t="n">
        <v>2</v>
      </c>
      <c r="G144" s="18" t="n">
        <v>645000</v>
      </c>
      <c r="H144" s="18" t="n">
        <v>3900</v>
      </c>
      <c r="I144" s="19">
        <f>H144/G144</f>
        <v/>
      </c>
      <c r="J144" s="18">
        <f>H144*(1-Assumptions!$B$4)</f>
        <v/>
      </c>
      <c r="K144" s="20">
        <f>PMT(Assumptions!$B$2/12, 360, -G144*(1-Assumptions!$B$3))</f>
        <v/>
      </c>
      <c r="L144" s="20">
        <f>J144+K144</f>
        <v/>
      </c>
      <c r="M144" s="21">
        <f>IF(I144&gt;=0.01,50,IF(I144&gt;=0.0095,37,IF(I144&gt;=0.009,25,12)))</f>
        <v/>
      </c>
      <c r="N144" s="21">
        <f>IF(L144&gt;=2000,30,IF(L144&gt;=1000,20,IF(L144&gt;=500,10,5)))</f>
        <v/>
      </c>
      <c r="O144" s="21" t="n">
        <v>20</v>
      </c>
      <c r="P144" s="22">
        <f>M144+N144+O144</f>
        <v/>
      </c>
      <c r="Q144" s="16" t="inlineStr">
        <is>
          <t>A11972932</t>
        </is>
      </c>
      <c r="R144" s="16" t="inlineStr"/>
      <c r="S144" s="16" t="inlineStr"/>
    </row>
    <row r="145">
      <c r="A145" s="15">
        <f>HYPERLINK("https://www.google.com/search?q=A11872723+Miami+MLS+listing", "A11872723")</f>
        <v/>
      </c>
      <c r="B145" s="16" t="inlineStr">
        <is>
          <t>1557-55 NW 66th St</t>
        </is>
      </c>
      <c r="C145" s="16" t="inlineStr">
        <is>
          <t>33147</t>
        </is>
      </c>
      <c r="D145" s="16" t="inlineStr">
        <is>
          <t>Miami-Dade County</t>
        </is>
      </c>
      <c r="E145" s="16" t="inlineStr">
        <is>
          <t>Duplex</t>
        </is>
      </c>
      <c r="F145" s="17" t="n">
        <v>2</v>
      </c>
      <c r="G145" s="18" t="n">
        <v>449000</v>
      </c>
      <c r="H145" s="18" t="n">
        <v>3800</v>
      </c>
      <c r="I145" s="19">
        <f>H145/G145</f>
        <v/>
      </c>
      <c r="J145" s="18">
        <f>H145*(1-Assumptions!$B$4)</f>
        <v/>
      </c>
      <c r="K145" s="20">
        <f>PMT(Assumptions!$B$2/12, 360, -G145*(1-Assumptions!$B$3))</f>
        <v/>
      </c>
      <c r="L145" s="20">
        <f>J145+K145</f>
        <v/>
      </c>
      <c r="M145" s="21">
        <f>IF(I145&gt;=0.01,50,IF(I145&gt;=0.0095,37,IF(I145&gt;=0.009,25,12)))</f>
        <v/>
      </c>
      <c r="N145" s="21">
        <f>IF(L145&gt;=2000,30,IF(L145&gt;=1000,20,IF(L145&gt;=500,10,5)))</f>
        <v/>
      </c>
      <c r="O145" s="21" t="n">
        <v>20</v>
      </c>
      <c r="P145" s="22">
        <f>M145+N145+O145</f>
        <v/>
      </c>
      <c r="Q145" s="16" t="inlineStr">
        <is>
          <t>A11872723</t>
        </is>
      </c>
      <c r="R145" s="16" t="inlineStr"/>
      <c r="S145" s="16" t="inlineStr"/>
    </row>
    <row r="146">
      <c r="A146" s="15">
        <f>HYPERLINK("https://www.google.com/search?q=A11903716+Miami+MLS+listing", "A11903716")</f>
        <v/>
      </c>
      <c r="B146" s="16" t="inlineStr">
        <is>
          <t>244 SW 36th Ave</t>
        </is>
      </c>
      <c r="C146" s="16" t="inlineStr">
        <is>
          <t>33135</t>
        </is>
      </c>
      <c r="D146" s="16" t="inlineStr">
        <is>
          <t>Miami-Dade County</t>
        </is>
      </c>
      <c r="E146" s="16" t="inlineStr">
        <is>
          <t>Duplex</t>
        </is>
      </c>
      <c r="F146" s="17" t="n">
        <v>2</v>
      </c>
      <c r="G146" s="18" t="n">
        <v>660000</v>
      </c>
      <c r="H146" s="18" t="n">
        <v>3800</v>
      </c>
      <c r="I146" s="19">
        <f>H146/G146</f>
        <v/>
      </c>
      <c r="J146" s="18">
        <f>H146*(1-Assumptions!$B$4)</f>
        <v/>
      </c>
      <c r="K146" s="20">
        <f>PMT(Assumptions!$B$2/12, 360, -G146*(1-Assumptions!$B$3))</f>
        <v/>
      </c>
      <c r="L146" s="20">
        <f>J146+K146</f>
        <v/>
      </c>
      <c r="M146" s="21">
        <f>IF(I146&gt;=0.01,50,IF(I146&gt;=0.0095,37,IF(I146&gt;=0.009,25,12)))</f>
        <v/>
      </c>
      <c r="N146" s="21">
        <f>IF(L146&gt;=2000,30,IF(L146&gt;=1000,20,IF(L146&gt;=500,10,5)))</f>
        <v/>
      </c>
      <c r="O146" s="21" t="n">
        <v>20</v>
      </c>
      <c r="P146" s="22">
        <f>M146+N146+O146</f>
        <v/>
      </c>
      <c r="Q146" s="16" t="inlineStr">
        <is>
          <t>A11903716</t>
        </is>
      </c>
      <c r="R146" s="16" t="inlineStr"/>
      <c r="S146" s="16" t="inlineStr"/>
    </row>
    <row r="147">
      <c r="A147" s="15">
        <f>HYPERLINK("https://www.google.com/search?q=A11886094+Miami+MLS+listing", "A11886094")</f>
        <v/>
      </c>
      <c r="B147" s="16" t="inlineStr">
        <is>
          <t>1737-1739 NW 47th Ter</t>
        </is>
      </c>
      <c r="C147" s="16" t="inlineStr">
        <is>
          <t>33142</t>
        </is>
      </c>
      <c r="D147" s="16" t="inlineStr">
        <is>
          <t>Miami-Dade County</t>
        </is>
      </c>
      <c r="E147" s="16" t="inlineStr">
        <is>
          <t>Duplex</t>
        </is>
      </c>
      <c r="F147" s="17" t="n">
        <v>2</v>
      </c>
      <c r="G147" s="18" t="n">
        <v>565000</v>
      </c>
      <c r="H147" s="18" t="n">
        <v>3850</v>
      </c>
      <c r="I147" s="19">
        <f>H147/G147</f>
        <v/>
      </c>
      <c r="J147" s="18">
        <f>H147*(1-Assumptions!$B$4)</f>
        <v/>
      </c>
      <c r="K147" s="20">
        <f>PMT(Assumptions!$B$2/12, 360, -G147*(1-Assumptions!$B$3))</f>
        <v/>
      </c>
      <c r="L147" s="20">
        <f>J147+K147</f>
        <v/>
      </c>
      <c r="M147" s="21">
        <f>IF(I147&gt;=0.01,50,IF(I147&gt;=0.0095,37,IF(I147&gt;=0.009,25,12)))</f>
        <v/>
      </c>
      <c r="N147" s="21">
        <f>IF(L147&gt;=2000,30,IF(L147&gt;=1000,20,IF(L147&gt;=500,10,5)))</f>
        <v/>
      </c>
      <c r="O147" s="21" t="n">
        <v>20</v>
      </c>
      <c r="P147" s="22">
        <f>M147+N147+O147</f>
        <v/>
      </c>
      <c r="Q147" s="16" t="inlineStr">
        <is>
          <t>A11886094</t>
        </is>
      </c>
      <c r="R147" s="16" t="inlineStr"/>
      <c r="S147" s="16" t="inlineStr"/>
    </row>
    <row r="148">
      <c r="A148" s="15">
        <f>HYPERLINK("https://www.google.com/search?q=A11905132+Miami+MLS+listing", "A11905132")</f>
        <v/>
      </c>
      <c r="B148" s="16" t="inlineStr">
        <is>
          <t>2385 SW 17th St</t>
        </is>
      </c>
      <c r="C148" s="16" t="inlineStr">
        <is>
          <t>33145</t>
        </is>
      </c>
      <c r="D148" s="16" t="inlineStr">
        <is>
          <t>Miami-Dade County</t>
        </is>
      </c>
      <c r="E148" s="16" t="inlineStr">
        <is>
          <t>Triplex</t>
        </is>
      </c>
      <c r="F148" s="17" t="n">
        <v>3</v>
      </c>
      <c r="G148" s="18" t="n">
        <v>950000</v>
      </c>
      <c r="H148" s="18" t="n">
        <v>3850</v>
      </c>
      <c r="I148" s="19">
        <f>H148/G148</f>
        <v/>
      </c>
      <c r="J148" s="18">
        <f>H148*(1-Assumptions!$B$4)</f>
        <v/>
      </c>
      <c r="K148" s="20">
        <f>PMT(Assumptions!$B$2/12, 360, -G148*(1-Assumptions!$B$3))</f>
        <v/>
      </c>
      <c r="L148" s="20">
        <f>J148+K148</f>
        <v/>
      </c>
      <c r="M148" s="21">
        <f>IF(I148&gt;=0.01,50,IF(I148&gt;=0.0095,37,IF(I148&gt;=0.009,25,12)))</f>
        <v/>
      </c>
      <c r="N148" s="21">
        <f>IF(L148&gt;=2000,30,IF(L148&gt;=1000,20,IF(L148&gt;=500,10,5)))</f>
        <v/>
      </c>
      <c r="O148" s="21" t="n">
        <v>20</v>
      </c>
      <c r="P148" s="22">
        <f>M148+N148+O148</f>
        <v/>
      </c>
      <c r="Q148" s="16" t="inlineStr">
        <is>
          <t>A11905132</t>
        </is>
      </c>
      <c r="R148" s="16" t="inlineStr"/>
      <c r="S148" s="16" t="inlineStr"/>
    </row>
    <row r="149">
      <c r="A149" s="15">
        <f>HYPERLINK("https://www.google.com/search?q=A11797989+Miami+MLS+listing", "A11797989")</f>
        <v/>
      </c>
      <c r="B149" s="16" t="inlineStr">
        <is>
          <t>1173 NW 65th St</t>
        </is>
      </c>
      <c r="C149" s="16" t="inlineStr">
        <is>
          <t>33150</t>
        </is>
      </c>
      <c r="D149" s="16" t="inlineStr">
        <is>
          <t>Miami-Dade County</t>
        </is>
      </c>
      <c r="E149" s="16" t="inlineStr">
        <is>
          <t>Duplex</t>
        </is>
      </c>
      <c r="F149" s="17" t="n">
        <v>2</v>
      </c>
      <c r="G149" s="18" t="n">
        <v>579000</v>
      </c>
      <c r="H149" s="18" t="n">
        <v>3900</v>
      </c>
      <c r="I149" s="19">
        <f>H149/G149</f>
        <v/>
      </c>
      <c r="J149" s="18">
        <f>H149*(1-Assumptions!$B$4)</f>
        <v/>
      </c>
      <c r="K149" s="20">
        <f>PMT(Assumptions!$B$2/12, 360, -G149*(1-Assumptions!$B$3))</f>
        <v/>
      </c>
      <c r="L149" s="20">
        <f>J149+K149</f>
        <v/>
      </c>
      <c r="M149" s="21">
        <f>IF(I149&gt;=0.01,50,IF(I149&gt;=0.0095,37,IF(I149&gt;=0.009,25,12)))</f>
        <v/>
      </c>
      <c r="N149" s="21">
        <f>IF(L149&gt;=2000,30,IF(L149&gt;=1000,20,IF(L149&gt;=500,10,5)))</f>
        <v/>
      </c>
      <c r="O149" s="21" t="n">
        <v>20</v>
      </c>
      <c r="P149" s="22">
        <f>M149+N149+O149</f>
        <v/>
      </c>
      <c r="Q149" s="16" t="inlineStr">
        <is>
          <t>A11797989</t>
        </is>
      </c>
      <c r="R149" s="16" t="inlineStr"/>
      <c r="S149" s="16" t="inlineStr"/>
    </row>
    <row r="150">
      <c r="A150" s="15">
        <f>HYPERLINK("https://www.google.com/search?q=A11977300+Miami+MLS+listing", "A11977300")</f>
        <v/>
      </c>
      <c r="B150" s="16" t="inlineStr">
        <is>
          <t>6910 NW 5th Pl</t>
        </is>
      </c>
      <c r="C150" s="16" t="inlineStr">
        <is>
          <t>33150</t>
        </is>
      </c>
      <c r="D150" s="16" t="inlineStr">
        <is>
          <t>Miami-Dade County</t>
        </is>
      </c>
      <c r="E150" s="16" t="inlineStr">
        <is>
          <t>Duplex</t>
        </is>
      </c>
      <c r="F150" s="17" t="n">
        <v>2</v>
      </c>
      <c r="G150" s="18" t="n">
        <v>570000</v>
      </c>
      <c r="H150" s="18" t="n">
        <v>3900</v>
      </c>
      <c r="I150" s="19">
        <f>H150/G150</f>
        <v/>
      </c>
      <c r="J150" s="18">
        <f>H150*(1-Assumptions!$B$4)</f>
        <v/>
      </c>
      <c r="K150" s="20">
        <f>PMT(Assumptions!$B$2/12, 360, -G150*(1-Assumptions!$B$3))</f>
        <v/>
      </c>
      <c r="L150" s="20">
        <f>J150+K150</f>
        <v/>
      </c>
      <c r="M150" s="21">
        <f>IF(I150&gt;=0.01,50,IF(I150&gt;=0.0095,37,IF(I150&gt;=0.009,25,12)))</f>
        <v/>
      </c>
      <c r="N150" s="21">
        <f>IF(L150&gt;=2000,30,IF(L150&gt;=1000,20,IF(L150&gt;=500,10,5)))</f>
        <v/>
      </c>
      <c r="O150" s="21" t="n">
        <v>20</v>
      </c>
      <c r="P150" s="22">
        <f>M150+N150+O150</f>
        <v/>
      </c>
      <c r="Q150" s="16" t="inlineStr">
        <is>
          <t>A11977300</t>
        </is>
      </c>
      <c r="R150" s="16" t="inlineStr"/>
      <c r="S150" s="16" t="inlineStr"/>
    </row>
    <row r="151">
      <c r="A151" s="15">
        <f>HYPERLINK("https://www.google.com/search?q=A11392942+Miami+MLS+listing", "A11392942")</f>
        <v/>
      </c>
      <c r="B151" s="16" t="inlineStr">
        <is>
          <t>2865 NW 22nd Ave</t>
        </is>
      </c>
      <c r="C151" s="16" t="inlineStr">
        <is>
          <t>33142</t>
        </is>
      </c>
      <c r="D151" s="16" t="inlineStr">
        <is>
          <t>Miami-Dade County</t>
        </is>
      </c>
      <c r="E151" s="16" t="inlineStr">
        <is>
          <t>Fourplex</t>
        </is>
      </c>
      <c r="F151" s="17" t="n">
        <v>4</v>
      </c>
      <c r="G151" s="18" t="n">
        <v>929000</v>
      </c>
      <c r="H151" s="18" t="n">
        <v>6700</v>
      </c>
      <c r="I151" s="19">
        <f>H151/G151</f>
        <v/>
      </c>
      <c r="J151" s="18">
        <f>H151*(1-Assumptions!$B$4)</f>
        <v/>
      </c>
      <c r="K151" s="20">
        <f>PMT(Assumptions!$B$2/12, 360, -G151*(1-Assumptions!$B$3))</f>
        <v/>
      </c>
      <c r="L151" s="20">
        <f>J151+K151</f>
        <v/>
      </c>
      <c r="M151" s="21">
        <f>IF(I151&gt;=0.01,50,IF(I151&gt;=0.0095,37,IF(I151&gt;=0.009,25,12)))</f>
        <v/>
      </c>
      <c r="N151" s="21">
        <f>IF(L151&gt;=2000,30,IF(L151&gt;=1000,20,IF(L151&gt;=500,10,5)))</f>
        <v/>
      </c>
      <c r="O151" s="21" t="n">
        <v>20</v>
      </c>
      <c r="P151" s="22">
        <f>M151+N151+O151</f>
        <v/>
      </c>
      <c r="Q151" s="16" t="inlineStr">
        <is>
          <t>A11392942</t>
        </is>
      </c>
      <c r="R151" s="16" t="inlineStr"/>
      <c r="S151" s="16" t="inlineStr"/>
    </row>
    <row r="152">
      <c r="A152" s="15">
        <f>HYPERLINK("https://www.google.com/search?q=A11969723+Miami+MLS+listing", "A11969723")</f>
        <v/>
      </c>
      <c r="B152" s="16" t="inlineStr">
        <is>
          <t>11919 NE 8th Ave</t>
        </is>
      </c>
      <c r="C152" s="16" t="inlineStr">
        <is>
          <t>33161</t>
        </is>
      </c>
      <c r="D152" s="16" t="inlineStr">
        <is>
          <t>Miami-Dade County</t>
        </is>
      </c>
      <c r="E152" s="16" t="inlineStr">
        <is>
          <t>Duplex</t>
        </is>
      </c>
      <c r="F152" s="17" t="n">
        <v>2</v>
      </c>
      <c r="G152" s="18" t="n">
        <v>995000</v>
      </c>
      <c r="H152" s="18" t="n">
        <v>5300</v>
      </c>
      <c r="I152" s="19">
        <f>H152/G152</f>
        <v/>
      </c>
      <c r="J152" s="18">
        <f>H152*(1-Assumptions!$B$4)</f>
        <v/>
      </c>
      <c r="K152" s="20">
        <f>PMT(Assumptions!$B$2/12, 360, -G152*(1-Assumptions!$B$3))</f>
        <v/>
      </c>
      <c r="L152" s="20">
        <f>J152+K152</f>
        <v/>
      </c>
      <c r="M152" s="21">
        <f>IF(I152&gt;=0.01,50,IF(I152&gt;=0.0095,37,IF(I152&gt;=0.009,25,12)))</f>
        <v/>
      </c>
      <c r="N152" s="21">
        <f>IF(L152&gt;=2000,30,IF(L152&gt;=1000,20,IF(L152&gt;=500,10,5)))</f>
        <v/>
      </c>
      <c r="O152" s="21" t="n">
        <v>20</v>
      </c>
      <c r="P152" s="22">
        <f>M152+N152+O152</f>
        <v/>
      </c>
      <c r="Q152" s="16" t="inlineStr">
        <is>
          <t>A11969723</t>
        </is>
      </c>
      <c r="R152" s="16" t="inlineStr"/>
      <c r="S152" s="16" t="inlineStr"/>
    </row>
    <row r="153">
      <c r="A153" s="15">
        <f>HYPERLINK("https://www.google.com/search?q=A11750534+Miami+MLS+listing", "A11750534")</f>
        <v/>
      </c>
      <c r="B153" s="16" t="inlineStr">
        <is>
          <t>5501 NW Miami Ct</t>
        </is>
      </c>
      <c r="C153" s="16" t="inlineStr">
        <is>
          <t>33127</t>
        </is>
      </c>
      <c r="D153" s="16" t="inlineStr">
        <is>
          <t>Miami-Dade County</t>
        </is>
      </c>
      <c r="E153" s="16" t="inlineStr">
        <is>
          <t>Fourplex</t>
        </is>
      </c>
      <c r="F153" s="17" t="n">
        <v>4</v>
      </c>
      <c r="G153" s="18" t="n">
        <v>1100000</v>
      </c>
      <c r="H153" s="18" t="n">
        <v>6800</v>
      </c>
      <c r="I153" s="19">
        <f>H153/G153</f>
        <v/>
      </c>
      <c r="J153" s="18">
        <f>H153*(1-Assumptions!$B$4)</f>
        <v/>
      </c>
      <c r="K153" s="20">
        <f>PMT(Assumptions!$B$2/12, 360, -G153*(1-Assumptions!$B$3))</f>
        <v/>
      </c>
      <c r="L153" s="20">
        <f>J153+K153</f>
        <v/>
      </c>
      <c r="M153" s="21">
        <f>IF(I153&gt;=0.01,50,IF(I153&gt;=0.0095,37,IF(I153&gt;=0.009,25,12)))</f>
        <v/>
      </c>
      <c r="N153" s="21">
        <f>IF(L153&gt;=2000,30,IF(L153&gt;=1000,20,IF(L153&gt;=500,10,5)))</f>
        <v/>
      </c>
      <c r="O153" s="21" t="n">
        <v>20</v>
      </c>
      <c r="P153" s="22">
        <f>M153+N153+O153</f>
        <v/>
      </c>
      <c r="Q153" s="16" t="inlineStr">
        <is>
          <t>A11750534</t>
        </is>
      </c>
      <c r="R153" s="16" t="inlineStr"/>
      <c r="S153" s="16" t="inlineStr"/>
    </row>
    <row r="154">
      <c r="A154" s="15">
        <f>HYPERLINK("https://www.google.com/search?q=A11933179+Miami+MLS+listing", "A11933179")</f>
        <v/>
      </c>
      <c r="B154" s="16" t="inlineStr">
        <is>
          <t>1629 NW 40th St</t>
        </is>
      </c>
      <c r="C154" s="16" t="inlineStr">
        <is>
          <t>33142</t>
        </is>
      </c>
      <c r="D154" s="16" t="inlineStr">
        <is>
          <t>Miami-Dade County</t>
        </is>
      </c>
      <c r="E154" s="16" t="inlineStr">
        <is>
          <t>Duplex</t>
        </is>
      </c>
      <c r="F154" s="17" t="n">
        <v>2</v>
      </c>
      <c r="G154" s="18" t="n">
        <v>999990</v>
      </c>
      <c r="H154" s="18" t="n">
        <v>7200</v>
      </c>
      <c r="I154" s="19">
        <f>H154/G154</f>
        <v/>
      </c>
      <c r="J154" s="18">
        <f>H154*(1-Assumptions!$B$4)</f>
        <v/>
      </c>
      <c r="K154" s="20">
        <f>PMT(Assumptions!$B$2/12, 360, -G154*(1-Assumptions!$B$3))</f>
        <v/>
      </c>
      <c r="L154" s="20">
        <f>J154+K154</f>
        <v/>
      </c>
      <c r="M154" s="21">
        <f>IF(I154&gt;=0.01,50,IF(I154&gt;=0.0095,37,IF(I154&gt;=0.009,25,12)))</f>
        <v/>
      </c>
      <c r="N154" s="21">
        <f>IF(L154&gt;=2000,30,IF(L154&gt;=1000,20,IF(L154&gt;=500,10,5)))</f>
        <v/>
      </c>
      <c r="O154" s="21" t="n">
        <v>20</v>
      </c>
      <c r="P154" s="22">
        <f>M154+N154+O154</f>
        <v/>
      </c>
      <c r="Q154" s="16" t="inlineStr">
        <is>
          <t>A11933179</t>
        </is>
      </c>
      <c r="R154" s="16" t="inlineStr"/>
      <c r="S154" s="16" t="inlineStr"/>
    </row>
    <row r="155">
      <c r="A155" s="15">
        <f>HYPERLINK("https://www.google.com/search?q=A11959419+Miami+MLS+listing", "A11959419")</f>
        <v/>
      </c>
      <c r="B155" s="16" t="inlineStr">
        <is>
          <t>329 SW 9th Ave</t>
        </is>
      </c>
      <c r="C155" s="16" t="inlineStr">
        <is>
          <t>33130</t>
        </is>
      </c>
      <c r="D155" s="16" t="inlineStr">
        <is>
          <t>Miami-Dade County</t>
        </is>
      </c>
      <c r="E155" s="16" t="inlineStr">
        <is>
          <t>Fourplex</t>
        </is>
      </c>
      <c r="F155" s="17" t="n">
        <v>4</v>
      </c>
      <c r="G155" s="18" t="n">
        <v>1495000</v>
      </c>
      <c r="H155" s="18" t="n">
        <v>8975</v>
      </c>
      <c r="I155" s="19">
        <f>H155/G155</f>
        <v/>
      </c>
      <c r="J155" s="18">
        <f>H155*(1-Assumptions!$B$4)</f>
        <v/>
      </c>
      <c r="K155" s="20">
        <f>PMT(Assumptions!$B$2/12, 360, -G155*(1-Assumptions!$B$3))</f>
        <v/>
      </c>
      <c r="L155" s="20">
        <f>J155+K155</f>
        <v/>
      </c>
      <c r="M155" s="21">
        <f>IF(I155&gt;=0.01,50,IF(I155&gt;=0.0095,37,IF(I155&gt;=0.009,25,12)))</f>
        <v/>
      </c>
      <c r="N155" s="21">
        <f>IF(L155&gt;=2000,30,IF(L155&gt;=1000,20,IF(L155&gt;=500,10,5)))</f>
        <v/>
      </c>
      <c r="O155" s="21" t="n">
        <v>20</v>
      </c>
      <c r="P155" s="22">
        <f>M155+N155+O155</f>
        <v/>
      </c>
      <c r="Q155" s="16" t="inlineStr">
        <is>
          <t>A11959419</t>
        </is>
      </c>
      <c r="R155" s="16" t="inlineStr"/>
      <c r="S155" s="16" t="inlineStr"/>
    </row>
    <row r="156">
      <c r="A156" s="15">
        <f>HYPERLINK("https://www.google.com/search?q=A11974165+Miami+MLS+listing", "A11974165")</f>
        <v/>
      </c>
      <c r="B156" s="16" t="inlineStr">
        <is>
          <t>810 82nd St</t>
        </is>
      </c>
      <c r="C156" s="16" t="inlineStr">
        <is>
          <t>33141</t>
        </is>
      </c>
      <c r="D156" s="16" t="inlineStr">
        <is>
          <t>Miami-Dade County</t>
        </is>
      </c>
      <c r="E156" s="16" t="inlineStr">
        <is>
          <t>Fourplex</t>
        </is>
      </c>
      <c r="F156" s="17" t="n">
        <v>4</v>
      </c>
      <c r="G156" s="18" t="n">
        <v>1390000</v>
      </c>
      <c r="H156" s="18" t="n">
        <v>8880</v>
      </c>
      <c r="I156" s="19">
        <f>H156/G156</f>
        <v/>
      </c>
      <c r="J156" s="18">
        <f>H156*(1-Assumptions!$B$4)</f>
        <v/>
      </c>
      <c r="K156" s="20">
        <f>PMT(Assumptions!$B$2/12, 360, -G156*(1-Assumptions!$B$3))</f>
        <v/>
      </c>
      <c r="L156" s="20">
        <f>J156+K156</f>
        <v/>
      </c>
      <c r="M156" s="21">
        <f>IF(I156&gt;=0.01,50,IF(I156&gt;=0.0095,37,IF(I156&gt;=0.009,25,12)))</f>
        <v/>
      </c>
      <c r="N156" s="21">
        <f>IF(L156&gt;=2000,30,IF(L156&gt;=1000,20,IF(L156&gt;=500,10,5)))</f>
        <v/>
      </c>
      <c r="O156" s="21" t="n">
        <v>20</v>
      </c>
      <c r="P156" s="22">
        <f>M156+N156+O156</f>
        <v/>
      </c>
      <c r="Q156" s="16" t="inlineStr">
        <is>
          <t>A11974165</t>
        </is>
      </c>
      <c r="R156" s="16" t="inlineStr"/>
      <c r="S156" s="16" t="inlineStr"/>
    </row>
    <row r="157">
      <c r="A157" s="15">
        <f>HYPERLINK("https://www.google.com/search?q=A11949747+Miami+MLS+listing", "A11949747")</f>
        <v/>
      </c>
      <c r="B157" s="16" t="inlineStr">
        <is>
          <t>630 79th St</t>
        </is>
      </c>
      <c r="C157" s="16" t="inlineStr">
        <is>
          <t>33141</t>
        </is>
      </c>
      <c r="D157" s="16" t="inlineStr">
        <is>
          <t>Miami-Dade County</t>
        </is>
      </c>
      <c r="E157" s="16" t="inlineStr">
        <is>
          <t>Triplex</t>
        </is>
      </c>
      <c r="F157" s="17" t="n">
        <v>3</v>
      </c>
      <c r="G157" s="18" t="n">
        <v>1395000</v>
      </c>
      <c r="H157" s="18" t="n">
        <v>8850</v>
      </c>
      <c r="I157" s="19">
        <f>H157/G157</f>
        <v/>
      </c>
      <c r="J157" s="18">
        <f>H157*(1-Assumptions!$B$4)</f>
        <v/>
      </c>
      <c r="K157" s="20">
        <f>PMT(Assumptions!$B$2/12, 360, -G157*(1-Assumptions!$B$3))</f>
        <v/>
      </c>
      <c r="L157" s="20">
        <f>J157+K157</f>
        <v/>
      </c>
      <c r="M157" s="21">
        <f>IF(I157&gt;=0.01,50,IF(I157&gt;=0.0095,37,IF(I157&gt;=0.009,25,12)))</f>
        <v/>
      </c>
      <c r="N157" s="21">
        <f>IF(L157&gt;=2000,30,IF(L157&gt;=1000,20,IF(L157&gt;=500,10,5)))</f>
        <v/>
      </c>
      <c r="O157" s="21" t="n">
        <v>20</v>
      </c>
      <c r="P157" s="22">
        <f>M157+N157+O157</f>
        <v/>
      </c>
      <c r="Q157" s="16" t="inlineStr">
        <is>
          <t>A11949747</t>
        </is>
      </c>
      <c r="R157" s="16" t="inlineStr"/>
      <c r="S157" s="16" t="inlineStr"/>
    </row>
    <row r="158">
      <c r="A158" s="15">
        <f>HYPERLINK("https://www.google.com/search?q=A11702068+Miami+MLS+listing", "A11702068")</f>
        <v/>
      </c>
      <c r="B158" s="16" t="inlineStr">
        <is>
          <t>236 SW 10 Avenue</t>
        </is>
      </c>
      <c r="C158" s="16" t="inlineStr">
        <is>
          <t>33130</t>
        </is>
      </c>
      <c r="D158" s="16" t="inlineStr">
        <is>
          <t>Miami-Dade County</t>
        </is>
      </c>
      <c r="E158" s="16" t="inlineStr">
        <is>
          <t>Fourplex</t>
        </is>
      </c>
      <c r="F158" s="17" t="n">
        <v>4</v>
      </c>
      <c r="G158" s="18" t="n">
        <v>1025000</v>
      </c>
      <c r="H158" s="18" t="n">
        <v>8700</v>
      </c>
      <c r="I158" s="19">
        <f>H158/G158</f>
        <v/>
      </c>
      <c r="J158" s="18">
        <f>H158*(1-Assumptions!$B$4)</f>
        <v/>
      </c>
      <c r="K158" s="20">
        <f>PMT(Assumptions!$B$2/12, 360, -G158*(1-Assumptions!$B$3))</f>
        <v/>
      </c>
      <c r="L158" s="20">
        <f>J158+K158</f>
        <v/>
      </c>
      <c r="M158" s="21">
        <f>IF(I158&gt;=0.01,50,IF(I158&gt;=0.0095,37,IF(I158&gt;=0.009,25,12)))</f>
        <v/>
      </c>
      <c r="N158" s="21">
        <f>IF(L158&gt;=2000,30,IF(L158&gt;=1000,20,IF(L158&gt;=500,10,5)))</f>
        <v/>
      </c>
      <c r="O158" s="21" t="n">
        <v>20</v>
      </c>
      <c r="P158" s="22">
        <f>M158+N158+O158</f>
        <v/>
      </c>
      <c r="Q158" s="16" t="inlineStr">
        <is>
          <t>A11702068</t>
        </is>
      </c>
      <c r="R158" s="16" t="inlineStr"/>
      <c r="S158" s="16" t="inlineStr"/>
    </row>
    <row r="159">
      <c r="A159" s="15">
        <f>HYPERLINK("https://www.google.com/search?q=A11945671+Miami+MLS+listing", "A11945671")</f>
        <v/>
      </c>
      <c r="B159" s="16" t="inlineStr">
        <is>
          <t>740 NW 24th Ct</t>
        </is>
      </c>
      <c r="C159" s="16" t="inlineStr">
        <is>
          <t>33125</t>
        </is>
      </c>
      <c r="D159" s="16" t="inlineStr">
        <is>
          <t>Miami-Dade County</t>
        </is>
      </c>
      <c r="E159" s="16" t="inlineStr">
        <is>
          <t>Duplex</t>
        </is>
      </c>
      <c r="F159" s="17" t="n">
        <v>2</v>
      </c>
      <c r="G159" s="18" t="n">
        <v>1750000</v>
      </c>
      <c r="H159" s="18" t="n">
        <v>8700</v>
      </c>
      <c r="I159" s="19">
        <f>H159/G159</f>
        <v/>
      </c>
      <c r="J159" s="18">
        <f>H159*(1-Assumptions!$B$4)</f>
        <v/>
      </c>
      <c r="K159" s="20">
        <f>PMT(Assumptions!$B$2/12, 360, -G159*(1-Assumptions!$B$3))</f>
        <v/>
      </c>
      <c r="L159" s="20">
        <f>J159+K159</f>
        <v/>
      </c>
      <c r="M159" s="21">
        <f>IF(I159&gt;=0.01,50,IF(I159&gt;=0.0095,37,IF(I159&gt;=0.009,25,12)))</f>
        <v/>
      </c>
      <c r="N159" s="21">
        <f>IF(L159&gt;=2000,30,IF(L159&gt;=1000,20,IF(L159&gt;=500,10,5)))</f>
        <v/>
      </c>
      <c r="O159" s="21" t="n">
        <v>20</v>
      </c>
      <c r="P159" s="22">
        <f>M159+N159+O159</f>
        <v/>
      </c>
      <c r="Q159" s="16" t="inlineStr">
        <is>
          <t>A11945671</t>
        </is>
      </c>
      <c r="R159" s="16" t="inlineStr"/>
      <c r="S159" s="16" t="inlineStr"/>
    </row>
    <row r="160">
      <c r="A160" s="15">
        <f>HYPERLINK("https://www.google.com/search?q=A11921048+Miami+MLS+listing", "A11921048")</f>
        <v/>
      </c>
      <c r="B160" s="16" t="inlineStr">
        <is>
          <t>990 SW 9th St</t>
        </is>
      </c>
      <c r="C160" s="16" t="inlineStr">
        <is>
          <t>33130</t>
        </is>
      </c>
      <c r="D160" s="16" t="inlineStr">
        <is>
          <t>Miami-Dade County</t>
        </is>
      </c>
      <c r="E160" s="16" t="inlineStr">
        <is>
          <t>Duplex</t>
        </is>
      </c>
      <c r="F160" s="17" t="n">
        <v>2</v>
      </c>
      <c r="G160" s="18" t="n">
        <v>1200000</v>
      </c>
      <c r="H160" s="18" t="n">
        <v>8700</v>
      </c>
      <c r="I160" s="19">
        <f>H160/G160</f>
        <v/>
      </c>
      <c r="J160" s="18">
        <f>H160*(1-Assumptions!$B$4)</f>
        <v/>
      </c>
      <c r="K160" s="20">
        <f>PMT(Assumptions!$B$2/12, 360, -G160*(1-Assumptions!$B$3))</f>
        <v/>
      </c>
      <c r="L160" s="20">
        <f>J160+K160</f>
        <v/>
      </c>
      <c r="M160" s="21">
        <f>IF(I160&gt;=0.01,50,IF(I160&gt;=0.0095,37,IF(I160&gt;=0.009,25,12)))</f>
        <v/>
      </c>
      <c r="N160" s="21">
        <f>IF(L160&gt;=2000,30,IF(L160&gt;=1000,20,IF(L160&gt;=500,10,5)))</f>
        <v/>
      </c>
      <c r="O160" s="21" t="n">
        <v>20</v>
      </c>
      <c r="P160" s="22">
        <f>M160+N160+O160</f>
        <v/>
      </c>
      <c r="Q160" s="16" t="inlineStr">
        <is>
          <t>A11921048</t>
        </is>
      </c>
      <c r="R160" s="16" t="inlineStr"/>
      <c r="S160" s="16" t="inlineStr"/>
    </row>
    <row r="161">
      <c r="A161" s="15">
        <f>HYPERLINK("https://www.google.com/search?q=A11731229+Miami+MLS+listing", "A11731229")</f>
        <v/>
      </c>
      <c r="B161" s="16" t="inlineStr">
        <is>
          <t>1865 NW 16th St</t>
        </is>
      </c>
      <c r="C161" s="16" t="inlineStr">
        <is>
          <t>33125</t>
        </is>
      </c>
      <c r="D161" s="16" t="inlineStr">
        <is>
          <t>Miami-Dade County</t>
        </is>
      </c>
      <c r="E161" s="16" t="inlineStr">
        <is>
          <t>Fourplex</t>
        </is>
      </c>
      <c r="F161" s="17" t="n">
        <v>4</v>
      </c>
      <c r="G161" s="18" t="n">
        <v>1350000</v>
      </c>
      <c r="H161" s="18" t="n">
        <v>8550</v>
      </c>
      <c r="I161" s="19">
        <f>H161/G161</f>
        <v/>
      </c>
      <c r="J161" s="18">
        <f>H161*(1-Assumptions!$B$4)</f>
        <v/>
      </c>
      <c r="K161" s="20">
        <f>PMT(Assumptions!$B$2/12, 360, -G161*(1-Assumptions!$B$3))</f>
        <v/>
      </c>
      <c r="L161" s="20">
        <f>J161+K161</f>
        <v/>
      </c>
      <c r="M161" s="21">
        <f>IF(I161&gt;=0.01,50,IF(I161&gt;=0.0095,37,IF(I161&gt;=0.009,25,12)))</f>
        <v/>
      </c>
      <c r="N161" s="21">
        <f>IF(L161&gt;=2000,30,IF(L161&gt;=1000,20,IF(L161&gt;=500,10,5)))</f>
        <v/>
      </c>
      <c r="O161" s="21" t="n">
        <v>20</v>
      </c>
      <c r="P161" s="22">
        <f>M161+N161+O161</f>
        <v/>
      </c>
      <c r="Q161" s="16" t="inlineStr">
        <is>
          <t>A11731229</t>
        </is>
      </c>
      <c r="R161" s="16" t="inlineStr"/>
      <c r="S161" s="16" t="inlineStr"/>
    </row>
    <row r="162">
      <c r="A162" s="15">
        <f>HYPERLINK("https://www.google.com/search?q=A11768752+Miami+MLS+listing", "A11768752")</f>
        <v/>
      </c>
      <c r="B162" s="16" t="inlineStr">
        <is>
          <t>3524 NW 4th Ter</t>
        </is>
      </c>
      <c r="C162" s="16" t="inlineStr">
        <is>
          <t>33125</t>
        </is>
      </c>
      <c r="D162" s="16" t="inlineStr">
        <is>
          <t>Miami-Dade County</t>
        </is>
      </c>
      <c r="E162" s="16" t="inlineStr">
        <is>
          <t>Duplex</t>
        </is>
      </c>
      <c r="F162" s="17" t="n">
        <v>2</v>
      </c>
      <c r="G162" s="18" t="n">
        <v>1399000</v>
      </c>
      <c r="H162" s="18" t="n">
        <v>8550</v>
      </c>
      <c r="I162" s="19">
        <f>H162/G162</f>
        <v/>
      </c>
      <c r="J162" s="18">
        <f>H162*(1-Assumptions!$B$4)</f>
        <v/>
      </c>
      <c r="K162" s="20">
        <f>PMT(Assumptions!$B$2/12, 360, -G162*(1-Assumptions!$B$3))</f>
        <v/>
      </c>
      <c r="L162" s="20">
        <f>J162+K162</f>
        <v/>
      </c>
      <c r="M162" s="21">
        <f>IF(I162&gt;=0.01,50,IF(I162&gt;=0.0095,37,IF(I162&gt;=0.009,25,12)))</f>
        <v/>
      </c>
      <c r="N162" s="21">
        <f>IF(L162&gt;=2000,30,IF(L162&gt;=1000,20,IF(L162&gt;=500,10,5)))</f>
        <v/>
      </c>
      <c r="O162" s="21" t="n">
        <v>20</v>
      </c>
      <c r="P162" s="22">
        <f>M162+N162+O162</f>
        <v/>
      </c>
      <c r="Q162" s="16" t="inlineStr">
        <is>
          <t>A11768752</t>
        </is>
      </c>
      <c r="R162" s="16" t="inlineStr"/>
      <c r="S162" s="16" t="inlineStr"/>
    </row>
    <row r="163">
      <c r="A163" s="15">
        <f>HYPERLINK("https://www.google.com/search?q=A11780950+Miami+MLS+listing", "A11780950")</f>
        <v/>
      </c>
      <c r="B163" s="16" t="inlineStr">
        <is>
          <t>1114 SW 13th Ct</t>
        </is>
      </c>
      <c r="C163" s="16" t="inlineStr">
        <is>
          <t>33135</t>
        </is>
      </c>
      <c r="D163" s="16" t="inlineStr">
        <is>
          <t>Miami-Dade County</t>
        </is>
      </c>
      <c r="E163" s="16" t="inlineStr">
        <is>
          <t>Duplex</t>
        </is>
      </c>
      <c r="F163" s="17" t="n">
        <v>2</v>
      </c>
      <c r="G163" s="18" t="n">
        <v>1130000</v>
      </c>
      <c r="H163" s="18" t="n">
        <v>8500</v>
      </c>
      <c r="I163" s="19">
        <f>H163/G163</f>
        <v/>
      </c>
      <c r="J163" s="18">
        <f>H163*(1-Assumptions!$B$4)</f>
        <v/>
      </c>
      <c r="K163" s="20">
        <f>PMT(Assumptions!$B$2/12, 360, -G163*(1-Assumptions!$B$3))</f>
        <v/>
      </c>
      <c r="L163" s="20">
        <f>J163+K163</f>
        <v/>
      </c>
      <c r="M163" s="21">
        <f>IF(I163&gt;=0.01,50,IF(I163&gt;=0.0095,37,IF(I163&gt;=0.009,25,12)))</f>
        <v/>
      </c>
      <c r="N163" s="21">
        <f>IF(L163&gt;=2000,30,IF(L163&gt;=1000,20,IF(L163&gt;=500,10,5)))</f>
        <v/>
      </c>
      <c r="O163" s="21" t="n">
        <v>20</v>
      </c>
      <c r="P163" s="22">
        <f>M163+N163+O163</f>
        <v/>
      </c>
      <c r="Q163" s="16" t="inlineStr">
        <is>
          <t>A11780950</t>
        </is>
      </c>
      <c r="R163" s="16" t="inlineStr"/>
      <c r="S163" s="16" t="inlineStr"/>
    </row>
    <row r="164">
      <c r="A164" s="15">
        <f>HYPERLINK("https://www.google.com/search?q=A11904015+Miami+MLS+listing", "A11904015")</f>
        <v/>
      </c>
      <c r="B164" s="16" t="inlineStr">
        <is>
          <t>520 NW 32nd Pl</t>
        </is>
      </c>
      <c r="C164" s="16" t="inlineStr">
        <is>
          <t>33125</t>
        </is>
      </c>
      <c r="D164" s="16" t="inlineStr">
        <is>
          <t>Miami-Dade County</t>
        </is>
      </c>
      <c r="E164" s="16" t="inlineStr">
        <is>
          <t>Duplex</t>
        </is>
      </c>
      <c r="F164" s="17" t="n">
        <v>2</v>
      </c>
      <c r="G164" s="18" t="n">
        <v>965000</v>
      </c>
      <c r="H164" s="18" t="n">
        <v>6800</v>
      </c>
      <c r="I164" s="19">
        <f>H164/G164</f>
        <v/>
      </c>
      <c r="J164" s="18">
        <f>H164*(1-Assumptions!$B$4)</f>
        <v/>
      </c>
      <c r="K164" s="20">
        <f>PMT(Assumptions!$B$2/12, 360, -G164*(1-Assumptions!$B$3))</f>
        <v/>
      </c>
      <c r="L164" s="20">
        <f>J164+K164</f>
        <v/>
      </c>
      <c r="M164" s="21">
        <f>IF(I164&gt;=0.01,50,IF(I164&gt;=0.0095,37,IF(I164&gt;=0.009,25,12)))</f>
        <v/>
      </c>
      <c r="N164" s="21">
        <f>IF(L164&gt;=2000,30,IF(L164&gt;=1000,20,IF(L164&gt;=500,10,5)))</f>
        <v/>
      </c>
      <c r="O164" s="21" t="n">
        <v>20</v>
      </c>
      <c r="P164" s="22">
        <f>M164+N164+O164</f>
        <v/>
      </c>
      <c r="Q164" s="16" t="inlineStr">
        <is>
          <t>A11904015</t>
        </is>
      </c>
      <c r="R164" s="16" t="inlineStr"/>
      <c r="S164" s="16" t="inlineStr"/>
    </row>
    <row r="165">
      <c r="A165" s="15">
        <f>HYPERLINK("https://www.google.com/search?q=A11824809+Miami+MLS+listing", "A11824809")</f>
        <v/>
      </c>
      <c r="B165" s="16" t="inlineStr">
        <is>
          <t>37 NW 19th Ave</t>
        </is>
      </c>
      <c r="C165" s="16" t="inlineStr">
        <is>
          <t>33125</t>
        </is>
      </c>
      <c r="D165" s="16" t="inlineStr">
        <is>
          <t>Miami-Dade County</t>
        </is>
      </c>
      <c r="E165" s="16" t="inlineStr">
        <is>
          <t>Fourplex</t>
        </is>
      </c>
      <c r="F165" s="17" t="n">
        <v>4</v>
      </c>
      <c r="G165" s="18" t="n">
        <v>1450000</v>
      </c>
      <c r="H165" s="18" t="n">
        <v>8400</v>
      </c>
      <c r="I165" s="19">
        <f>H165/G165</f>
        <v/>
      </c>
      <c r="J165" s="18">
        <f>H165*(1-Assumptions!$B$4)</f>
        <v/>
      </c>
      <c r="K165" s="20">
        <f>PMT(Assumptions!$B$2/12, 360, -G165*(1-Assumptions!$B$3))</f>
        <v/>
      </c>
      <c r="L165" s="20">
        <f>J165+K165</f>
        <v/>
      </c>
      <c r="M165" s="21">
        <f>IF(I165&gt;=0.01,50,IF(I165&gt;=0.0095,37,IF(I165&gt;=0.009,25,12)))</f>
        <v/>
      </c>
      <c r="N165" s="21">
        <f>IF(L165&gt;=2000,30,IF(L165&gt;=1000,20,IF(L165&gt;=500,10,5)))</f>
        <v/>
      </c>
      <c r="O165" s="21" t="n">
        <v>20</v>
      </c>
      <c r="P165" s="22">
        <f>M165+N165+O165</f>
        <v/>
      </c>
      <c r="Q165" s="16" t="inlineStr">
        <is>
          <t>A11824809</t>
        </is>
      </c>
      <c r="R165" s="16" t="inlineStr"/>
      <c r="S165" s="16" t="inlineStr"/>
    </row>
    <row r="166">
      <c r="A166" s="15">
        <f>HYPERLINK("https://www.google.com/search?q=A11962107+Miami+MLS+listing", "A11962107")</f>
        <v/>
      </c>
      <c r="B166" s="16" t="inlineStr">
        <is>
          <t>1851-1853 NW 22nd Pl</t>
        </is>
      </c>
      <c r="C166" s="16" t="inlineStr">
        <is>
          <t>33125</t>
        </is>
      </c>
      <c r="D166" s="16" t="inlineStr">
        <is>
          <t>Miami-Dade County</t>
        </is>
      </c>
      <c r="E166" s="16" t="inlineStr">
        <is>
          <t>Duplex</t>
        </is>
      </c>
      <c r="F166" s="17" t="n">
        <v>2</v>
      </c>
      <c r="G166" s="18" t="n">
        <v>1195000</v>
      </c>
      <c r="H166" s="18" t="n">
        <v>8400</v>
      </c>
      <c r="I166" s="19">
        <f>H166/G166</f>
        <v/>
      </c>
      <c r="J166" s="18">
        <f>H166*(1-Assumptions!$B$4)</f>
        <v/>
      </c>
      <c r="K166" s="20">
        <f>PMT(Assumptions!$B$2/12, 360, -G166*(1-Assumptions!$B$3))</f>
        <v/>
      </c>
      <c r="L166" s="20">
        <f>J166+K166</f>
        <v/>
      </c>
      <c r="M166" s="21">
        <f>IF(I166&gt;=0.01,50,IF(I166&gt;=0.0095,37,IF(I166&gt;=0.009,25,12)))</f>
        <v/>
      </c>
      <c r="N166" s="21">
        <f>IF(L166&gt;=2000,30,IF(L166&gt;=1000,20,IF(L166&gt;=500,10,5)))</f>
        <v/>
      </c>
      <c r="O166" s="21" t="n">
        <v>20</v>
      </c>
      <c r="P166" s="22">
        <f>M166+N166+O166</f>
        <v/>
      </c>
      <c r="Q166" s="16" t="inlineStr">
        <is>
          <t>A11962107</t>
        </is>
      </c>
      <c r="R166" s="16" t="inlineStr"/>
      <c r="S166" s="16" t="inlineStr"/>
    </row>
    <row r="167">
      <c r="A167" s="15">
        <f>HYPERLINK("https://www.google.com/search?q=A11956992+Miami+MLS+listing", "A11956992")</f>
        <v/>
      </c>
      <c r="B167" s="16" t="inlineStr">
        <is>
          <t>600 NW 25th Ct</t>
        </is>
      </c>
      <c r="C167" s="16" t="inlineStr">
        <is>
          <t>33125</t>
        </is>
      </c>
      <c r="D167" s="16" t="inlineStr">
        <is>
          <t>Miami-Dade County</t>
        </is>
      </c>
      <c r="E167" s="16" t="inlineStr">
        <is>
          <t>Fourplex</t>
        </is>
      </c>
      <c r="F167" s="17" t="n">
        <v>4</v>
      </c>
      <c r="G167" s="18" t="n">
        <v>1495000</v>
      </c>
      <c r="H167" s="18" t="n">
        <v>8400</v>
      </c>
      <c r="I167" s="19">
        <f>H167/G167</f>
        <v/>
      </c>
      <c r="J167" s="18">
        <f>H167*(1-Assumptions!$B$4)</f>
        <v/>
      </c>
      <c r="K167" s="20">
        <f>PMT(Assumptions!$B$2/12, 360, -G167*(1-Assumptions!$B$3))</f>
        <v/>
      </c>
      <c r="L167" s="20">
        <f>J167+K167</f>
        <v/>
      </c>
      <c r="M167" s="21">
        <f>IF(I167&gt;=0.01,50,IF(I167&gt;=0.0095,37,IF(I167&gt;=0.009,25,12)))</f>
        <v/>
      </c>
      <c r="N167" s="21">
        <f>IF(L167&gt;=2000,30,IF(L167&gt;=1000,20,IF(L167&gt;=500,10,5)))</f>
        <v/>
      </c>
      <c r="O167" s="21" t="n">
        <v>20</v>
      </c>
      <c r="P167" s="22">
        <f>M167+N167+O167</f>
        <v/>
      </c>
      <c r="Q167" s="16" t="inlineStr">
        <is>
          <t>A11956992</t>
        </is>
      </c>
      <c r="R167" s="16" t="inlineStr"/>
      <c r="S167" s="16" t="inlineStr"/>
    </row>
    <row r="168">
      <c r="A168" s="15">
        <f>HYPERLINK("https://www.google.com/search?q=A11864674+Miami+MLS+listing", "A11864674")</f>
        <v/>
      </c>
      <c r="B168" s="16" t="inlineStr">
        <is>
          <t>1346 NW 6th St</t>
        </is>
      </c>
      <c r="C168" s="16" t="inlineStr">
        <is>
          <t>33125</t>
        </is>
      </c>
      <c r="D168" s="16" t="inlineStr">
        <is>
          <t>Miami-Dade County</t>
        </is>
      </c>
      <c r="E168" s="16" t="inlineStr">
        <is>
          <t>Fourplex</t>
        </is>
      </c>
      <c r="F168" s="17" t="n">
        <v>4</v>
      </c>
      <c r="G168" s="18" t="n">
        <v>1400000</v>
      </c>
      <c r="H168" s="18" t="n">
        <v>8350</v>
      </c>
      <c r="I168" s="19">
        <f>H168/G168</f>
        <v/>
      </c>
      <c r="J168" s="18">
        <f>H168*(1-Assumptions!$B$4)</f>
        <v/>
      </c>
      <c r="K168" s="20">
        <f>PMT(Assumptions!$B$2/12, 360, -G168*(1-Assumptions!$B$3))</f>
        <v/>
      </c>
      <c r="L168" s="20">
        <f>J168+K168</f>
        <v/>
      </c>
      <c r="M168" s="21">
        <f>IF(I168&gt;=0.01,50,IF(I168&gt;=0.0095,37,IF(I168&gt;=0.009,25,12)))</f>
        <v/>
      </c>
      <c r="N168" s="21">
        <f>IF(L168&gt;=2000,30,IF(L168&gt;=1000,20,IF(L168&gt;=500,10,5)))</f>
        <v/>
      </c>
      <c r="O168" s="21" t="n">
        <v>20</v>
      </c>
      <c r="P168" s="22">
        <f>M168+N168+O168</f>
        <v/>
      </c>
      <c r="Q168" s="16" t="inlineStr">
        <is>
          <t>A11864674</t>
        </is>
      </c>
      <c r="R168" s="16" t="inlineStr"/>
      <c r="S168" s="16" t="inlineStr"/>
    </row>
    <row r="169">
      <c r="A169" s="15">
        <f>HYPERLINK("https://www.google.com/search?q=A11886516+Miami+MLS+listing", "A11886516")</f>
        <v/>
      </c>
      <c r="B169" s="16" t="inlineStr">
        <is>
          <t>212 NW 7th Ave</t>
        </is>
      </c>
      <c r="C169" s="16" t="inlineStr">
        <is>
          <t>33128</t>
        </is>
      </c>
      <c r="D169" s="16" t="inlineStr">
        <is>
          <t>Miami-Dade County</t>
        </is>
      </c>
      <c r="E169" s="16" t="inlineStr">
        <is>
          <t>Fourplex</t>
        </is>
      </c>
      <c r="F169" s="17" t="n">
        <v>4</v>
      </c>
      <c r="G169" s="18" t="n">
        <v>1460000</v>
      </c>
      <c r="H169" s="18" t="n">
        <v>7950</v>
      </c>
      <c r="I169" s="19">
        <f>H169/G169</f>
        <v/>
      </c>
      <c r="J169" s="18">
        <f>H169*(1-Assumptions!$B$4)</f>
        <v/>
      </c>
      <c r="K169" s="20">
        <f>PMT(Assumptions!$B$2/12, 360, -G169*(1-Assumptions!$B$3))</f>
        <v/>
      </c>
      <c r="L169" s="20">
        <f>J169+K169</f>
        <v/>
      </c>
      <c r="M169" s="21">
        <f>IF(I169&gt;=0.01,50,IF(I169&gt;=0.0095,37,IF(I169&gt;=0.009,25,12)))</f>
        <v/>
      </c>
      <c r="N169" s="21">
        <f>IF(L169&gt;=2000,30,IF(L169&gt;=1000,20,IF(L169&gt;=500,10,5)))</f>
        <v/>
      </c>
      <c r="O169" s="21" t="n">
        <v>20</v>
      </c>
      <c r="P169" s="22">
        <f>M169+N169+O169</f>
        <v/>
      </c>
      <c r="Q169" s="16" t="inlineStr">
        <is>
          <t>A11886516</t>
        </is>
      </c>
      <c r="R169" s="16" t="inlineStr"/>
      <c r="S169" s="16" t="inlineStr"/>
    </row>
    <row r="170">
      <c r="A170" s="15">
        <f>HYPERLINK("https://www.google.com/search?q=A11904904+Miami+MLS+listing", "A11904904")</f>
        <v/>
      </c>
      <c r="B170" s="16" t="inlineStr">
        <is>
          <t>2835 NW 22nd Ave</t>
        </is>
      </c>
      <c r="C170" s="16" t="inlineStr">
        <is>
          <t>33142</t>
        </is>
      </c>
      <c r="D170" s="16" t="inlineStr">
        <is>
          <t>Miami-Dade County</t>
        </is>
      </c>
      <c r="E170" s="16" t="inlineStr">
        <is>
          <t>Fourplex</t>
        </is>
      </c>
      <c r="F170" s="17" t="n">
        <v>4</v>
      </c>
      <c r="G170" s="18" t="n">
        <v>1185000</v>
      </c>
      <c r="H170" s="18" t="n">
        <v>7900</v>
      </c>
      <c r="I170" s="19">
        <f>H170/G170</f>
        <v/>
      </c>
      <c r="J170" s="18">
        <f>H170*(1-Assumptions!$B$4)</f>
        <v/>
      </c>
      <c r="K170" s="20">
        <f>PMT(Assumptions!$B$2/12, 360, -G170*(1-Assumptions!$B$3))</f>
        <v/>
      </c>
      <c r="L170" s="20">
        <f>J170+K170</f>
        <v/>
      </c>
      <c r="M170" s="21">
        <f>IF(I170&gt;=0.01,50,IF(I170&gt;=0.0095,37,IF(I170&gt;=0.009,25,12)))</f>
        <v/>
      </c>
      <c r="N170" s="21">
        <f>IF(L170&gt;=2000,30,IF(L170&gt;=1000,20,IF(L170&gt;=500,10,5)))</f>
        <v/>
      </c>
      <c r="O170" s="21" t="n">
        <v>20</v>
      </c>
      <c r="P170" s="22">
        <f>M170+N170+O170</f>
        <v/>
      </c>
      <c r="Q170" s="16" t="inlineStr">
        <is>
          <t>A11904904</t>
        </is>
      </c>
      <c r="R170" s="16" t="inlineStr"/>
      <c r="S170" s="16" t="inlineStr"/>
    </row>
    <row r="171">
      <c r="A171" s="15">
        <f>HYPERLINK("https://www.google.com/search?q=A11933019+Miami+MLS+listing", "A11933019")</f>
        <v/>
      </c>
      <c r="B171" s="16" t="inlineStr">
        <is>
          <t>6852-6850 NW 4th AVE</t>
        </is>
      </c>
      <c r="C171" s="16" t="inlineStr">
        <is>
          <t>33150</t>
        </is>
      </c>
      <c r="D171" s="16" t="inlineStr">
        <is>
          <t>Miami-Dade County</t>
        </is>
      </c>
      <c r="E171" s="16" t="inlineStr">
        <is>
          <t>Duplex</t>
        </is>
      </c>
      <c r="F171" s="17" t="n">
        <v>2</v>
      </c>
      <c r="G171" s="18" t="n">
        <v>1700000</v>
      </c>
      <c r="H171" s="18" t="n">
        <v>7800</v>
      </c>
      <c r="I171" s="19">
        <f>H171/G171</f>
        <v/>
      </c>
      <c r="J171" s="18">
        <f>H171*(1-Assumptions!$B$4)</f>
        <v/>
      </c>
      <c r="K171" s="20">
        <f>PMT(Assumptions!$B$2/12, 360, -G171*(1-Assumptions!$B$3))</f>
        <v/>
      </c>
      <c r="L171" s="20">
        <f>J171+K171</f>
        <v/>
      </c>
      <c r="M171" s="21">
        <f>IF(I171&gt;=0.01,50,IF(I171&gt;=0.0095,37,IF(I171&gt;=0.009,25,12)))</f>
        <v/>
      </c>
      <c r="N171" s="21">
        <f>IF(L171&gt;=2000,30,IF(L171&gt;=1000,20,IF(L171&gt;=500,10,5)))</f>
        <v/>
      </c>
      <c r="O171" s="21" t="n">
        <v>20</v>
      </c>
      <c r="P171" s="22">
        <f>M171+N171+O171</f>
        <v/>
      </c>
      <c r="Q171" s="16" t="inlineStr">
        <is>
          <t>A11933019</t>
        </is>
      </c>
      <c r="R171" s="16" t="inlineStr"/>
      <c r="S171" s="16" t="inlineStr"/>
    </row>
    <row r="172">
      <c r="A172" s="15">
        <f>HYPERLINK("https://www.google.com/search?q=A11970238+Miami+MLS+listing", "A11970238")</f>
        <v/>
      </c>
      <c r="B172" s="16" t="inlineStr">
        <is>
          <t>1542 NW 35th St</t>
        </is>
      </c>
      <c r="C172" s="16" t="inlineStr">
        <is>
          <t>33142</t>
        </is>
      </c>
      <c r="D172" s="16" t="inlineStr">
        <is>
          <t>Miami-Dade County</t>
        </is>
      </c>
      <c r="E172" s="16" t="inlineStr">
        <is>
          <t>Fourplex</t>
        </is>
      </c>
      <c r="F172" s="17" t="n">
        <v>4</v>
      </c>
      <c r="G172" s="18" t="n">
        <v>1175000</v>
      </c>
      <c r="H172" s="18" t="n">
        <v>7738</v>
      </c>
      <c r="I172" s="19">
        <f>H172/G172</f>
        <v/>
      </c>
      <c r="J172" s="18">
        <f>H172*(1-Assumptions!$B$4)</f>
        <v/>
      </c>
      <c r="K172" s="20">
        <f>PMT(Assumptions!$B$2/12, 360, -G172*(1-Assumptions!$B$3))</f>
        <v/>
      </c>
      <c r="L172" s="20">
        <f>J172+K172</f>
        <v/>
      </c>
      <c r="M172" s="21">
        <f>IF(I172&gt;=0.01,50,IF(I172&gt;=0.0095,37,IF(I172&gt;=0.009,25,12)))</f>
        <v/>
      </c>
      <c r="N172" s="21">
        <f>IF(L172&gt;=2000,30,IF(L172&gt;=1000,20,IF(L172&gt;=500,10,5)))</f>
        <v/>
      </c>
      <c r="O172" s="21" t="n">
        <v>20</v>
      </c>
      <c r="P172" s="22">
        <f>M172+N172+O172</f>
        <v/>
      </c>
      <c r="Q172" s="16" t="inlineStr">
        <is>
          <t>A11970238</t>
        </is>
      </c>
      <c r="R172" s="16" t="inlineStr"/>
      <c r="S172" s="16" t="inlineStr"/>
    </row>
    <row r="173">
      <c r="A173" s="15">
        <f>HYPERLINK("https://www.google.com/search?q=A11793475+Miami+MLS+listing", "A11793475")</f>
        <v/>
      </c>
      <c r="B173" s="16" t="inlineStr">
        <is>
          <t>1243 NW 61st St</t>
        </is>
      </c>
      <c r="C173" s="16" t="inlineStr">
        <is>
          <t>33142</t>
        </is>
      </c>
      <c r="D173" s="16" t="inlineStr">
        <is>
          <t>Miami-Dade County</t>
        </is>
      </c>
      <c r="E173" s="16" t="inlineStr">
        <is>
          <t>Fourplex</t>
        </is>
      </c>
      <c r="F173" s="17" t="n">
        <v>4</v>
      </c>
      <c r="G173" s="18" t="n">
        <v>950000</v>
      </c>
      <c r="H173" s="18" t="n">
        <v>7700</v>
      </c>
      <c r="I173" s="19">
        <f>H173/G173</f>
        <v/>
      </c>
      <c r="J173" s="18">
        <f>H173*(1-Assumptions!$B$4)</f>
        <v/>
      </c>
      <c r="K173" s="20">
        <f>PMT(Assumptions!$B$2/12, 360, -G173*(1-Assumptions!$B$3))</f>
        <v/>
      </c>
      <c r="L173" s="20">
        <f>J173+K173</f>
        <v/>
      </c>
      <c r="M173" s="21">
        <f>IF(I173&gt;=0.01,50,IF(I173&gt;=0.0095,37,IF(I173&gt;=0.009,25,12)))</f>
        <v/>
      </c>
      <c r="N173" s="21">
        <f>IF(L173&gt;=2000,30,IF(L173&gt;=1000,20,IF(L173&gt;=500,10,5)))</f>
        <v/>
      </c>
      <c r="O173" s="21" t="n">
        <v>20</v>
      </c>
      <c r="P173" s="22">
        <f>M173+N173+O173</f>
        <v/>
      </c>
      <c r="Q173" s="16" t="inlineStr">
        <is>
          <t>A11793475</t>
        </is>
      </c>
      <c r="R173" s="16" t="inlineStr"/>
      <c r="S173" s="16" t="inlineStr"/>
    </row>
    <row r="174">
      <c r="A174" s="15">
        <f>HYPERLINK("https://www.google.com/search?q=A11937772+Miami+MLS+listing", "A11937772")</f>
        <v/>
      </c>
      <c r="B174" s="16" t="inlineStr">
        <is>
          <t>1621 NW 16th St</t>
        </is>
      </c>
      <c r="C174" s="16" t="inlineStr">
        <is>
          <t>33125</t>
        </is>
      </c>
      <c r="D174" s="16" t="inlineStr">
        <is>
          <t>Miami-Dade County</t>
        </is>
      </c>
      <c r="E174" s="16" t="inlineStr">
        <is>
          <t>Fourplex</t>
        </is>
      </c>
      <c r="F174" s="17" t="n">
        <v>4</v>
      </c>
      <c r="G174" s="18" t="n">
        <v>1495000</v>
      </c>
      <c r="H174" s="18" t="n">
        <v>7600</v>
      </c>
      <c r="I174" s="19">
        <f>H174/G174</f>
        <v/>
      </c>
      <c r="J174" s="18">
        <f>H174*(1-Assumptions!$B$4)</f>
        <v/>
      </c>
      <c r="K174" s="20">
        <f>PMT(Assumptions!$B$2/12, 360, -G174*(1-Assumptions!$B$3))</f>
        <v/>
      </c>
      <c r="L174" s="20">
        <f>J174+K174</f>
        <v/>
      </c>
      <c r="M174" s="21">
        <f>IF(I174&gt;=0.01,50,IF(I174&gt;=0.0095,37,IF(I174&gt;=0.009,25,12)))</f>
        <v/>
      </c>
      <c r="N174" s="21">
        <f>IF(L174&gt;=2000,30,IF(L174&gt;=1000,20,IF(L174&gt;=500,10,5)))</f>
        <v/>
      </c>
      <c r="O174" s="21" t="n">
        <v>20</v>
      </c>
      <c r="P174" s="22">
        <f>M174+N174+O174</f>
        <v/>
      </c>
      <c r="Q174" s="16" t="inlineStr">
        <is>
          <t>A11937772</t>
        </is>
      </c>
      <c r="R174" s="16" t="inlineStr"/>
      <c r="S174" s="16" t="inlineStr"/>
    </row>
    <row r="175">
      <c r="A175" s="15">
        <f>HYPERLINK("https://www.google.com/search?q=A11924675+Miami+MLS+listing", "A11924675")</f>
        <v/>
      </c>
      <c r="B175" s="16" t="inlineStr">
        <is>
          <t>7525 NE Miami Ct</t>
        </is>
      </c>
      <c r="C175" s="16" t="inlineStr">
        <is>
          <t>33138</t>
        </is>
      </c>
      <c r="D175" s="16" t="inlineStr">
        <is>
          <t>Miami-Dade County</t>
        </is>
      </c>
      <c r="E175" s="16" t="inlineStr">
        <is>
          <t>Fourplex</t>
        </is>
      </c>
      <c r="F175" s="17" t="n">
        <v>4</v>
      </c>
      <c r="G175" s="18" t="n">
        <v>1000000</v>
      </c>
      <c r="H175" s="18" t="n">
        <v>7600</v>
      </c>
      <c r="I175" s="19">
        <f>H175/G175</f>
        <v/>
      </c>
      <c r="J175" s="18">
        <f>H175*(1-Assumptions!$B$4)</f>
        <v/>
      </c>
      <c r="K175" s="20">
        <f>PMT(Assumptions!$B$2/12, 360, -G175*(1-Assumptions!$B$3))</f>
        <v/>
      </c>
      <c r="L175" s="20">
        <f>J175+K175</f>
        <v/>
      </c>
      <c r="M175" s="21">
        <f>IF(I175&gt;=0.01,50,IF(I175&gt;=0.0095,37,IF(I175&gt;=0.009,25,12)))</f>
        <v/>
      </c>
      <c r="N175" s="21">
        <f>IF(L175&gt;=2000,30,IF(L175&gt;=1000,20,IF(L175&gt;=500,10,5)))</f>
        <v/>
      </c>
      <c r="O175" s="21" t="n">
        <v>20</v>
      </c>
      <c r="P175" s="22">
        <f>M175+N175+O175</f>
        <v/>
      </c>
      <c r="Q175" s="16" t="inlineStr">
        <is>
          <t>A11924675</t>
        </is>
      </c>
      <c r="R175" s="16" t="inlineStr"/>
      <c r="S175" s="16" t="inlineStr"/>
    </row>
    <row r="176">
      <c r="A176" s="15">
        <f>HYPERLINK("https://www.google.com/search?q=A11870687+Miami+MLS+listing", "A11870687")</f>
        <v/>
      </c>
      <c r="B176" s="16" t="inlineStr">
        <is>
          <t>1075 NW 30th St</t>
        </is>
      </c>
      <c r="C176" s="16" t="inlineStr">
        <is>
          <t>33127</t>
        </is>
      </c>
      <c r="D176" s="16" t="inlineStr">
        <is>
          <t>Miami-Dade County</t>
        </is>
      </c>
      <c r="E176" s="16" t="inlineStr">
        <is>
          <t>Fourplex</t>
        </is>
      </c>
      <c r="F176" s="17" t="n">
        <v>4</v>
      </c>
      <c r="G176" s="18" t="n">
        <v>1250000</v>
      </c>
      <c r="H176" s="18" t="n">
        <v>7500</v>
      </c>
      <c r="I176" s="19">
        <f>H176/G176</f>
        <v/>
      </c>
      <c r="J176" s="18">
        <f>H176*(1-Assumptions!$B$4)</f>
        <v/>
      </c>
      <c r="K176" s="20">
        <f>PMT(Assumptions!$B$2/12, 360, -G176*(1-Assumptions!$B$3))</f>
        <v/>
      </c>
      <c r="L176" s="20">
        <f>J176+K176</f>
        <v/>
      </c>
      <c r="M176" s="21">
        <f>IF(I176&gt;=0.01,50,IF(I176&gt;=0.0095,37,IF(I176&gt;=0.009,25,12)))</f>
        <v/>
      </c>
      <c r="N176" s="21">
        <f>IF(L176&gt;=2000,30,IF(L176&gt;=1000,20,IF(L176&gt;=500,10,5)))</f>
        <v/>
      </c>
      <c r="O176" s="21" t="n">
        <v>20</v>
      </c>
      <c r="P176" s="22">
        <f>M176+N176+O176</f>
        <v/>
      </c>
      <c r="Q176" s="16" t="inlineStr">
        <is>
          <t>A11870687</t>
        </is>
      </c>
      <c r="R176" s="16" t="inlineStr"/>
      <c r="S176" s="16" t="inlineStr"/>
    </row>
    <row r="177">
      <c r="A177" s="15">
        <f>HYPERLINK("https://www.google.com/search?q=A11959197+Miami+MLS+listing", "A11959197")</f>
        <v/>
      </c>
      <c r="B177" s="16" t="inlineStr">
        <is>
          <t>1630 SW 10th St</t>
        </is>
      </c>
      <c r="C177" s="16" t="inlineStr">
        <is>
          <t>33135</t>
        </is>
      </c>
      <c r="D177" s="16" t="inlineStr">
        <is>
          <t>Miami-Dade County</t>
        </is>
      </c>
      <c r="E177" s="16" t="inlineStr">
        <is>
          <t>Fourplex</t>
        </is>
      </c>
      <c r="F177" s="17" t="n">
        <v>4</v>
      </c>
      <c r="G177" s="18" t="n">
        <v>2500000</v>
      </c>
      <c r="H177" s="18" t="n">
        <v>7450</v>
      </c>
      <c r="I177" s="19">
        <f>H177/G177</f>
        <v/>
      </c>
      <c r="J177" s="18">
        <f>H177*(1-Assumptions!$B$4)</f>
        <v/>
      </c>
      <c r="K177" s="20">
        <f>PMT(Assumptions!$B$2/12, 360, -G177*(1-Assumptions!$B$3))</f>
        <v/>
      </c>
      <c r="L177" s="20">
        <f>J177+K177</f>
        <v/>
      </c>
      <c r="M177" s="21">
        <f>IF(I177&gt;=0.01,50,IF(I177&gt;=0.0095,37,IF(I177&gt;=0.009,25,12)))</f>
        <v/>
      </c>
      <c r="N177" s="21">
        <f>IF(L177&gt;=2000,30,IF(L177&gt;=1000,20,IF(L177&gt;=500,10,5)))</f>
        <v/>
      </c>
      <c r="O177" s="21" t="n">
        <v>20</v>
      </c>
      <c r="P177" s="22">
        <f>M177+N177+O177</f>
        <v/>
      </c>
      <c r="Q177" s="16" t="inlineStr">
        <is>
          <t>A11959197</t>
        </is>
      </c>
      <c r="R177" s="16" t="inlineStr"/>
      <c r="S177" s="16" t="inlineStr"/>
    </row>
    <row r="178">
      <c r="A178" s="15">
        <f>HYPERLINK("https://www.google.com/search?q=A11938166+Miami+MLS+listing", "A11938166")</f>
        <v/>
      </c>
      <c r="B178" s="16" t="inlineStr">
        <is>
          <t>1126 NW 58th Ter</t>
        </is>
      </c>
      <c r="C178" s="16" t="inlineStr">
        <is>
          <t>33127</t>
        </is>
      </c>
      <c r="D178" s="16" t="inlineStr">
        <is>
          <t>Miami-Dade County</t>
        </is>
      </c>
      <c r="E178" s="16" t="inlineStr">
        <is>
          <t>Fourplex</t>
        </is>
      </c>
      <c r="F178" s="17" t="n">
        <v>4</v>
      </c>
      <c r="G178" s="18" t="n">
        <v>1290000</v>
      </c>
      <c r="H178" s="18" t="n">
        <v>7363</v>
      </c>
      <c r="I178" s="19">
        <f>H178/G178</f>
        <v/>
      </c>
      <c r="J178" s="18">
        <f>H178*(1-Assumptions!$B$4)</f>
        <v/>
      </c>
      <c r="K178" s="20">
        <f>PMT(Assumptions!$B$2/12, 360, -G178*(1-Assumptions!$B$3))</f>
        <v/>
      </c>
      <c r="L178" s="20">
        <f>J178+K178</f>
        <v/>
      </c>
      <c r="M178" s="21">
        <f>IF(I178&gt;=0.01,50,IF(I178&gt;=0.0095,37,IF(I178&gt;=0.009,25,12)))</f>
        <v/>
      </c>
      <c r="N178" s="21">
        <f>IF(L178&gt;=2000,30,IF(L178&gt;=1000,20,IF(L178&gt;=500,10,5)))</f>
        <v/>
      </c>
      <c r="O178" s="21" t="n">
        <v>20</v>
      </c>
      <c r="P178" s="22">
        <f>M178+N178+O178</f>
        <v/>
      </c>
      <c r="Q178" s="16" t="inlineStr">
        <is>
          <t>A11938166</t>
        </is>
      </c>
      <c r="R178" s="16" t="inlineStr"/>
      <c r="S178" s="16" t="inlineStr"/>
    </row>
    <row r="179">
      <c r="A179" s="15">
        <f>HYPERLINK("https://www.google.com/search?q=A11830252+Miami+MLS+listing", "A11830252")</f>
        <v/>
      </c>
      <c r="B179" s="16" t="inlineStr">
        <is>
          <t>36 NW 52nd St</t>
        </is>
      </c>
      <c r="C179" s="16" t="inlineStr">
        <is>
          <t>33127</t>
        </is>
      </c>
      <c r="D179" s="16" t="inlineStr">
        <is>
          <t>Miami-Dade County</t>
        </is>
      </c>
      <c r="E179" s="16" t="inlineStr">
        <is>
          <t>Duplex</t>
        </is>
      </c>
      <c r="F179" s="17" t="n">
        <v>2</v>
      </c>
      <c r="G179" s="18" t="n">
        <v>1450000</v>
      </c>
      <c r="H179" s="18" t="n">
        <v>7350</v>
      </c>
      <c r="I179" s="19">
        <f>H179/G179</f>
        <v/>
      </c>
      <c r="J179" s="18">
        <f>H179*(1-Assumptions!$B$4)</f>
        <v/>
      </c>
      <c r="K179" s="20">
        <f>PMT(Assumptions!$B$2/12, 360, -G179*(1-Assumptions!$B$3))</f>
        <v/>
      </c>
      <c r="L179" s="20">
        <f>J179+K179</f>
        <v/>
      </c>
      <c r="M179" s="21">
        <f>IF(I179&gt;=0.01,50,IF(I179&gt;=0.0095,37,IF(I179&gt;=0.009,25,12)))</f>
        <v/>
      </c>
      <c r="N179" s="21">
        <f>IF(L179&gt;=2000,30,IF(L179&gt;=1000,20,IF(L179&gt;=500,10,5)))</f>
        <v/>
      </c>
      <c r="O179" s="21" t="n">
        <v>20</v>
      </c>
      <c r="P179" s="22">
        <f>M179+N179+O179</f>
        <v/>
      </c>
      <c r="Q179" s="16" t="inlineStr">
        <is>
          <t>A11830252</t>
        </is>
      </c>
      <c r="R179" s="16" t="inlineStr"/>
      <c r="S179" s="16" t="inlineStr"/>
    </row>
    <row r="180">
      <c r="A180" s="15">
        <f>HYPERLINK("https://www.google.com/search?q=A11921525+Miami+MLS+listing", "A11921525")</f>
        <v/>
      </c>
      <c r="B180" s="16" t="inlineStr">
        <is>
          <t>1286 NW 59th St</t>
        </is>
      </c>
      <c r="C180" s="16" t="inlineStr">
        <is>
          <t>33142</t>
        </is>
      </c>
      <c r="D180" s="16" t="inlineStr">
        <is>
          <t>Miami-Dade County</t>
        </is>
      </c>
      <c r="E180" s="16" t="inlineStr">
        <is>
          <t>Fourplex</t>
        </is>
      </c>
      <c r="F180" s="17" t="n">
        <v>4</v>
      </c>
      <c r="G180" s="18" t="n">
        <v>1090000</v>
      </c>
      <c r="H180" s="18" t="n">
        <v>7350</v>
      </c>
      <c r="I180" s="19">
        <f>H180/G180</f>
        <v/>
      </c>
      <c r="J180" s="18">
        <f>H180*(1-Assumptions!$B$4)</f>
        <v/>
      </c>
      <c r="K180" s="20">
        <f>PMT(Assumptions!$B$2/12, 360, -G180*(1-Assumptions!$B$3))</f>
        <v/>
      </c>
      <c r="L180" s="20">
        <f>J180+K180</f>
        <v/>
      </c>
      <c r="M180" s="21">
        <f>IF(I180&gt;=0.01,50,IF(I180&gt;=0.0095,37,IF(I180&gt;=0.009,25,12)))</f>
        <v/>
      </c>
      <c r="N180" s="21">
        <f>IF(L180&gt;=2000,30,IF(L180&gt;=1000,20,IF(L180&gt;=500,10,5)))</f>
        <v/>
      </c>
      <c r="O180" s="21" t="n">
        <v>20</v>
      </c>
      <c r="P180" s="22">
        <f>M180+N180+O180</f>
        <v/>
      </c>
      <c r="Q180" s="16" t="inlineStr">
        <is>
          <t>A11921525</t>
        </is>
      </c>
      <c r="R180" s="16" t="inlineStr"/>
      <c r="S180" s="16" t="inlineStr"/>
    </row>
    <row r="181">
      <c r="A181" s="15">
        <f>HYPERLINK("https://www.google.com/search?q=A11801020+Miami+MLS+listing", "A11801020")</f>
        <v/>
      </c>
      <c r="B181" s="16" t="inlineStr">
        <is>
          <t>5031 Ponce De Leon Blvd</t>
        </is>
      </c>
      <c r="C181" s="16" t="inlineStr">
        <is>
          <t>33146</t>
        </is>
      </c>
      <c r="D181" s="16" t="inlineStr">
        <is>
          <t>Miami-Dade County</t>
        </is>
      </c>
      <c r="E181" s="16" t="inlineStr">
        <is>
          <t>Duplex</t>
        </is>
      </c>
      <c r="F181" s="17" t="n">
        <v>2</v>
      </c>
      <c r="G181" s="18" t="n">
        <v>1890000</v>
      </c>
      <c r="H181" s="18" t="n">
        <v>7300</v>
      </c>
      <c r="I181" s="19">
        <f>H181/G181</f>
        <v/>
      </c>
      <c r="J181" s="18">
        <f>H181*(1-Assumptions!$B$4)</f>
        <v/>
      </c>
      <c r="K181" s="20">
        <f>PMT(Assumptions!$B$2/12, 360, -G181*(1-Assumptions!$B$3))</f>
        <v/>
      </c>
      <c r="L181" s="20">
        <f>J181+K181</f>
        <v/>
      </c>
      <c r="M181" s="21">
        <f>IF(I181&gt;=0.01,50,IF(I181&gt;=0.0095,37,IF(I181&gt;=0.009,25,12)))</f>
        <v/>
      </c>
      <c r="N181" s="21">
        <f>IF(L181&gt;=2000,30,IF(L181&gt;=1000,20,IF(L181&gt;=500,10,5)))</f>
        <v/>
      </c>
      <c r="O181" s="21" t="n">
        <v>20</v>
      </c>
      <c r="P181" s="22">
        <f>M181+N181+O181</f>
        <v/>
      </c>
      <c r="Q181" s="16" t="inlineStr">
        <is>
          <t>A11801020</t>
        </is>
      </c>
      <c r="R181" s="16" t="inlineStr"/>
      <c r="S181" s="16" t="inlineStr"/>
    </row>
    <row r="182">
      <c r="A182" s="15">
        <f>HYPERLINK("https://www.google.com/search?q=A11974158+Miami+MLS+listing", "A11974158")</f>
        <v/>
      </c>
      <c r="B182" s="16" t="inlineStr">
        <is>
          <t>8031 Hawthorne Ave</t>
        </is>
      </c>
      <c r="C182" s="16" t="inlineStr">
        <is>
          <t>33141</t>
        </is>
      </c>
      <c r="D182" s="16" t="inlineStr">
        <is>
          <t>Miami-Dade County</t>
        </is>
      </c>
      <c r="E182" s="16" t="inlineStr">
        <is>
          <t>Fourplex</t>
        </is>
      </c>
      <c r="F182" s="17" t="n">
        <v>4</v>
      </c>
      <c r="G182" s="18" t="n">
        <v>1650000</v>
      </c>
      <c r="H182" s="18" t="n">
        <v>9000</v>
      </c>
      <c r="I182" s="19">
        <f>H182/G182</f>
        <v/>
      </c>
      <c r="J182" s="18">
        <f>H182*(1-Assumptions!$B$4)</f>
        <v/>
      </c>
      <c r="K182" s="20">
        <f>PMT(Assumptions!$B$2/12, 360, -G182*(1-Assumptions!$B$3))</f>
        <v/>
      </c>
      <c r="L182" s="20">
        <f>J182+K182</f>
        <v/>
      </c>
      <c r="M182" s="21">
        <f>IF(I182&gt;=0.01,50,IF(I182&gt;=0.0095,37,IF(I182&gt;=0.009,25,12)))</f>
        <v/>
      </c>
      <c r="N182" s="21">
        <f>IF(L182&gt;=2000,30,IF(L182&gt;=1000,20,IF(L182&gt;=500,10,5)))</f>
        <v/>
      </c>
      <c r="O182" s="21" t="n">
        <v>20</v>
      </c>
      <c r="P182" s="22">
        <f>M182+N182+O182</f>
        <v/>
      </c>
      <c r="Q182" s="16" t="inlineStr">
        <is>
          <t>A11974158</t>
        </is>
      </c>
      <c r="R182" s="16" t="inlineStr"/>
      <c r="S182" s="16" t="inlineStr"/>
    </row>
    <row r="183">
      <c r="A183" s="15">
        <f>HYPERLINK("https://www.google.com/search?q=A11977485+Miami+MLS+listing", "A11977485")</f>
        <v/>
      </c>
      <c r="B183" s="16" t="inlineStr">
        <is>
          <t>661 NE 61st St</t>
        </is>
      </c>
      <c r="C183" s="16" t="inlineStr">
        <is>
          <t>33137</t>
        </is>
      </c>
      <c r="D183" s="16" t="inlineStr">
        <is>
          <t>Miami-Dade County</t>
        </is>
      </c>
      <c r="E183" s="16" t="inlineStr">
        <is>
          <t>Fourplex</t>
        </is>
      </c>
      <c r="F183" s="17" t="n">
        <v>4</v>
      </c>
      <c r="G183" s="18" t="n">
        <v>1799999</v>
      </c>
      <c r="H183" s="18" t="n">
        <v>9000</v>
      </c>
      <c r="I183" s="19">
        <f>H183/G183</f>
        <v/>
      </c>
      <c r="J183" s="18">
        <f>H183*(1-Assumptions!$B$4)</f>
        <v/>
      </c>
      <c r="K183" s="20">
        <f>PMT(Assumptions!$B$2/12, 360, -G183*(1-Assumptions!$B$3))</f>
        <v/>
      </c>
      <c r="L183" s="20">
        <f>J183+K183</f>
        <v/>
      </c>
      <c r="M183" s="21">
        <f>IF(I183&gt;=0.01,50,IF(I183&gt;=0.0095,37,IF(I183&gt;=0.009,25,12)))</f>
        <v/>
      </c>
      <c r="N183" s="21">
        <f>IF(L183&gt;=2000,30,IF(L183&gt;=1000,20,IF(L183&gt;=500,10,5)))</f>
        <v/>
      </c>
      <c r="O183" s="21" t="n">
        <v>20</v>
      </c>
      <c r="P183" s="22">
        <f>M183+N183+O183</f>
        <v/>
      </c>
      <c r="Q183" s="16" t="inlineStr">
        <is>
          <t>A11977485</t>
        </is>
      </c>
      <c r="R183" s="16" t="inlineStr"/>
      <c r="S183" s="16" t="inlineStr"/>
    </row>
    <row r="184">
      <c r="A184" s="15">
        <f>HYPERLINK("https://www.google.com/search?q=A11969125+Miami+MLS+listing", "A11969125")</f>
        <v/>
      </c>
      <c r="B184" s="16" t="inlineStr">
        <is>
          <t>1561 Jefferson Avenue</t>
        </is>
      </c>
      <c r="C184" s="16" t="inlineStr">
        <is>
          <t>33139</t>
        </is>
      </c>
      <c r="D184" s="16" t="inlineStr">
        <is>
          <t>Miami-Dade County</t>
        </is>
      </c>
      <c r="E184" s="16" t="inlineStr">
        <is>
          <t>Duplex</t>
        </is>
      </c>
      <c r="F184" s="17" t="n">
        <v>2</v>
      </c>
      <c r="G184" s="18" t="n">
        <v>4750000</v>
      </c>
      <c r="H184" s="18" t="n">
        <v>9100</v>
      </c>
      <c r="I184" s="19">
        <f>H184/G184</f>
        <v/>
      </c>
      <c r="J184" s="18">
        <f>H184*(1-Assumptions!$B$4)</f>
        <v/>
      </c>
      <c r="K184" s="20">
        <f>PMT(Assumptions!$B$2/12, 360, -G184*(1-Assumptions!$B$3))</f>
        <v/>
      </c>
      <c r="L184" s="20">
        <f>J184+K184</f>
        <v/>
      </c>
      <c r="M184" s="21">
        <f>IF(I184&gt;=0.01,50,IF(I184&gt;=0.0095,37,IF(I184&gt;=0.009,25,12)))</f>
        <v/>
      </c>
      <c r="N184" s="21">
        <f>IF(L184&gt;=2000,30,IF(L184&gt;=1000,20,IF(L184&gt;=500,10,5)))</f>
        <v/>
      </c>
      <c r="O184" s="21" t="n">
        <v>20</v>
      </c>
      <c r="P184" s="22">
        <f>M184+N184+O184</f>
        <v/>
      </c>
      <c r="Q184" s="16" t="inlineStr">
        <is>
          <t>A11969125</t>
        </is>
      </c>
      <c r="R184" s="16" t="inlineStr"/>
      <c r="S184" s="16" t="inlineStr"/>
    </row>
    <row r="185">
      <c r="A185" s="15">
        <f>HYPERLINK("https://www.google.com/search?q=A11824179+Miami+MLS+listing", "A11824179")</f>
        <v/>
      </c>
      <c r="B185" s="16" t="inlineStr">
        <is>
          <t>147 NW 61st St</t>
        </is>
      </c>
      <c r="C185" s="16" t="inlineStr">
        <is>
          <t>33127</t>
        </is>
      </c>
      <c r="D185" s="16" t="inlineStr">
        <is>
          <t>Miami-Dade County</t>
        </is>
      </c>
      <c r="E185" s="16" t="inlineStr">
        <is>
          <t>Fourplex</t>
        </is>
      </c>
      <c r="F185" s="17" t="n">
        <v>4</v>
      </c>
      <c r="G185" s="18" t="n">
        <v>2350000</v>
      </c>
      <c r="H185" s="18" t="n">
        <v>11183</v>
      </c>
      <c r="I185" s="19">
        <f>H185/G185</f>
        <v/>
      </c>
      <c r="J185" s="18">
        <f>H185*(1-Assumptions!$B$4)</f>
        <v/>
      </c>
      <c r="K185" s="20">
        <f>PMT(Assumptions!$B$2/12, 360, -G185*(1-Assumptions!$B$3))</f>
        <v/>
      </c>
      <c r="L185" s="20">
        <f>J185+K185</f>
        <v/>
      </c>
      <c r="M185" s="21">
        <f>IF(I185&gt;=0.01,50,IF(I185&gt;=0.0095,37,IF(I185&gt;=0.009,25,12)))</f>
        <v/>
      </c>
      <c r="N185" s="21">
        <f>IF(L185&gt;=2000,30,IF(L185&gt;=1000,20,IF(L185&gt;=500,10,5)))</f>
        <v/>
      </c>
      <c r="O185" s="21" t="n">
        <v>20</v>
      </c>
      <c r="P185" s="22">
        <f>M185+N185+O185</f>
        <v/>
      </c>
      <c r="Q185" s="16" t="inlineStr">
        <is>
          <t>A11824179</t>
        </is>
      </c>
      <c r="R185" s="16" t="inlineStr"/>
      <c r="S185" s="16" t="inlineStr"/>
    </row>
    <row r="186">
      <c r="A186" s="15">
        <f>HYPERLINK("https://www.google.com/search?q=A11842324+Miami+MLS+listing", "A11842324")</f>
        <v/>
      </c>
      <c r="B186" s="16" t="inlineStr">
        <is>
          <t>1228-1234-1250 SW 2nd St</t>
        </is>
      </c>
      <c r="C186" s="16" t="inlineStr">
        <is>
          <t>33135</t>
        </is>
      </c>
      <c r="D186" s="16" t="inlineStr">
        <is>
          <t>Miami-Dade County</t>
        </is>
      </c>
      <c r="E186" s="16" t="inlineStr">
        <is>
          <t>Fourplex</t>
        </is>
      </c>
      <c r="F186" s="17" t="n">
        <v>4</v>
      </c>
      <c r="G186" s="18" t="n">
        <v>4995000</v>
      </c>
      <c r="H186" s="18" t="n">
        <v>17000</v>
      </c>
      <c r="I186" s="19">
        <f>H186/G186</f>
        <v/>
      </c>
      <c r="J186" s="18">
        <f>H186*(1-Assumptions!$B$4)</f>
        <v/>
      </c>
      <c r="K186" s="20">
        <f>PMT(Assumptions!$B$2/12, 360, -G186*(1-Assumptions!$B$3))</f>
        <v/>
      </c>
      <c r="L186" s="20">
        <f>J186+K186</f>
        <v/>
      </c>
      <c r="M186" s="21">
        <f>IF(I186&gt;=0.01,50,IF(I186&gt;=0.0095,37,IF(I186&gt;=0.009,25,12)))</f>
        <v/>
      </c>
      <c r="N186" s="21">
        <f>IF(L186&gt;=2000,30,IF(L186&gt;=1000,20,IF(L186&gt;=500,10,5)))</f>
        <v/>
      </c>
      <c r="O186" s="21" t="n">
        <v>20</v>
      </c>
      <c r="P186" s="22">
        <f>M186+N186+O186</f>
        <v/>
      </c>
      <c r="Q186" s="16" t="inlineStr">
        <is>
          <t>A11842324</t>
        </is>
      </c>
      <c r="R186" s="16" t="inlineStr"/>
      <c r="S186" s="16" t="inlineStr"/>
    </row>
    <row r="187">
      <c r="A187" s="15">
        <f>HYPERLINK("https://www.google.com/search?q=A11894215+Miami+MLS+listing", "A11894215")</f>
        <v/>
      </c>
      <c r="B187" s="16" t="inlineStr">
        <is>
          <t>3909 Garden Avenue</t>
        </is>
      </c>
      <c r="C187" s="16" t="inlineStr">
        <is>
          <t>33140</t>
        </is>
      </c>
      <c r="D187" s="16" t="inlineStr">
        <is>
          <t>Miami-Dade County</t>
        </is>
      </c>
      <c r="E187" s="16" t="inlineStr">
        <is>
          <t>Fourplex</t>
        </is>
      </c>
      <c r="F187" s="17" t="n">
        <v>4</v>
      </c>
      <c r="G187" s="18" t="n">
        <v>2500000</v>
      </c>
      <c r="H187" s="18" t="n">
        <v>16250</v>
      </c>
      <c r="I187" s="19">
        <f>H187/G187</f>
        <v/>
      </c>
      <c r="J187" s="18">
        <f>H187*(1-Assumptions!$B$4)</f>
        <v/>
      </c>
      <c r="K187" s="20">
        <f>PMT(Assumptions!$B$2/12, 360, -G187*(1-Assumptions!$B$3))</f>
        <v/>
      </c>
      <c r="L187" s="20">
        <f>J187+K187</f>
        <v/>
      </c>
      <c r="M187" s="21">
        <f>IF(I187&gt;=0.01,50,IF(I187&gt;=0.0095,37,IF(I187&gt;=0.009,25,12)))</f>
        <v/>
      </c>
      <c r="N187" s="21">
        <f>IF(L187&gt;=2000,30,IF(L187&gt;=1000,20,IF(L187&gt;=500,10,5)))</f>
        <v/>
      </c>
      <c r="O187" s="21" t="n">
        <v>20</v>
      </c>
      <c r="P187" s="22">
        <f>M187+N187+O187</f>
        <v/>
      </c>
      <c r="Q187" s="16" t="inlineStr">
        <is>
          <t>A11894215</t>
        </is>
      </c>
      <c r="R187" s="16" t="inlineStr"/>
      <c r="S187" s="16" t="inlineStr"/>
    </row>
    <row r="188">
      <c r="A188" s="15">
        <f>HYPERLINK("https://www.google.com/search?q=A11971221+Miami+MLS+listing", "A11971221")</f>
        <v/>
      </c>
      <c r="B188" s="16" t="inlineStr">
        <is>
          <t>1044 NW 29th St</t>
        </is>
      </c>
      <c r="C188" s="16" t="inlineStr">
        <is>
          <t>33127</t>
        </is>
      </c>
      <c r="D188" s="16" t="inlineStr">
        <is>
          <t>Miami-Dade County</t>
        </is>
      </c>
      <c r="E188" s="16" t="inlineStr">
        <is>
          <t>Fourplex</t>
        </is>
      </c>
      <c r="F188" s="17" t="n">
        <v>4</v>
      </c>
      <c r="G188" s="18" t="n">
        <v>1975000</v>
      </c>
      <c r="H188" s="18" t="n">
        <v>15000</v>
      </c>
      <c r="I188" s="19">
        <f>H188/G188</f>
        <v/>
      </c>
      <c r="J188" s="18">
        <f>H188*(1-Assumptions!$B$4)</f>
        <v/>
      </c>
      <c r="K188" s="20">
        <f>PMT(Assumptions!$B$2/12, 360, -G188*(1-Assumptions!$B$3))</f>
        <v/>
      </c>
      <c r="L188" s="20">
        <f>J188+K188</f>
        <v/>
      </c>
      <c r="M188" s="21">
        <f>IF(I188&gt;=0.01,50,IF(I188&gt;=0.0095,37,IF(I188&gt;=0.009,25,12)))</f>
        <v/>
      </c>
      <c r="N188" s="21">
        <f>IF(L188&gt;=2000,30,IF(L188&gt;=1000,20,IF(L188&gt;=500,10,5)))</f>
        <v/>
      </c>
      <c r="O188" s="21" t="n">
        <v>20</v>
      </c>
      <c r="P188" s="22">
        <f>M188+N188+O188</f>
        <v/>
      </c>
      <c r="Q188" s="16" t="inlineStr">
        <is>
          <t>A11971221</t>
        </is>
      </c>
      <c r="R188" s="16" t="inlineStr"/>
      <c r="S188" s="16" t="inlineStr"/>
    </row>
    <row r="189">
      <c r="A189" s="15">
        <f>HYPERLINK("https://www.google.com/search?q=A11971241+Miami+MLS+listing", "A11971241")</f>
        <v/>
      </c>
      <c r="B189" s="16" t="inlineStr">
        <is>
          <t>1054 NW 29th St</t>
        </is>
      </c>
      <c r="C189" s="16" t="inlineStr">
        <is>
          <t>33127</t>
        </is>
      </c>
      <c r="D189" s="16" t="inlineStr">
        <is>
          <t>Miami-Dade County</t>
        </is>
      </c>
      <c r="E189" s="16" t="inlineStr">
        <is>
          <t>Fourplex</t>
        </is>
      </c>
      <c r="F189" s="17" t="n">
        <v>4</v>
      </c>
      <c r="G189" s="18" t="n">
        <v>1975000</v>
      </c>
      <c r="H189" s="18" t="n">
        <v>15000</v>
      </c>
      <c r="I189" s="19">
        <f>H189/G189</f>
        <v/>
      </c>
      <c r="J189" s="18">
        <f>H189*(1-Assumptions!$B$4)</f>
        <v/>
      </c>
      <c r="K189" s="20">
        <f>PMT(Assumptions!$B$2/12, 360, -G189*(1-Assumptions!$B$3))</f>
        <v/>
      </c>
      <c r="L189" s="20">
        <f>J189+K189</f>
        <v/>
      </c>
      <c r="M189" s="21">
        <f>IF(I189&gt;=0.01,50,IF(I189&gt;=0.0095,37,IF(I189&gt;=0.009,25,12)))</f>
        <v/>
      </c>
      <c r="N189" s="21">
        <f>IF(L189&gt;=2000,30,IF(L189&gt;=1000,20,IF(L189&gt;=500,10,5)))</f>
        <v/>
      </c>
      <c r="O189" s="21" t="n">
        <v>20</v>
      </c>
      <c r="P189" s="22">
        <f>M189+N189+O189</f>
        <v/>
      </c>
      <c r="Q189" s="16" t="inlineStr">
        <is>
          <t>A11971241</t>
        </is>
      </c>
      <c r="R189" s="16" t="inlineStr"/>
      <c r="S189" s="16" t="inlineStr"/>
    </row>
    <row r="190">
      <c r="A190" s="15">
        <f>HYPERLINK("https://www.google.com/search?q=A11955293+Miami+MLS+listing", "A11955293")</f>
        <v/>
      </c>
      <c r="B190" s="16" t="inlineStr">
        <is>
          <t>1068 NW 5th St</t>
        </is>
      </c>
      <c r="C190" s="16" t="inlineStr">
        <is>
          <t>33128</t>
        </is>
      </c>
      <c r="D190" s="16" t="inlineStr">
        <is>
          <t>Miami-Dade County</t>
        </is>
      </c>
      <c r="E190" s="16" t="inlineStr">
        <is>
          <t>Fourplex</t>
        </is>
      </c>
      <c r="F190" s="17" t="n">
        <v>4</v>
      </c>
      <c r="G190" s="18" t="n">
        <v>2200000</v>
      </c>
      <c r="H190" s="18" t="n">
        <v>14200</v>
      </c>
      <c r="I190" s="19">
        <f>H190/G190</f>
        <v/>
      </c>
      <c r="J190" s="18">
        <f>H190*(1-Assumptions!$B$4)</f>
        <v/>
      </c>
      <c r="K190" s="20">
        <f>PMT(Assumptions!$B$2/12, 360, -G190*(1-Assumptions!$B$3))</f>
        <v/>
      </c>
      <c r="L190" s="20">
        <f>J190+K190</f>
        <v/>
      </c>
      <c r="M190" s="21">
        <f>IF(I190&gt;=0.01,50,IF(I190&gt;=0.0095,37,IF(I190&gt;=0.009,25,12)))</f>
        <v/>
      </c>
      <c r="N190" s="21">
        <f>IF(L190&gt;=2000,30,IF(L190&gt;=1000,20,IF(L190&gt;=500,10,5)))</f>
        <v/>
      </c>
      <c r="O190" s="21" t="n">
        <v>20</v>
      </c>
      <c r="P190" s="22">
        <f>M190+N190+O190</f>
        <v/>
      </c>
      <c r="Q190" s="16" t="inlineStr">
        <is>
          <t>A11955293</t>
        </is>
      </c>
      <c r="R190" s="16" t="inlineStr"/>
      <c r="S190" s="16" t="inlineStr"/>
    </row>
    <row r="191">
      <c r="A191" s="15">
        <f>HYPERLINK("https://www.google.com/search?q=A11950336+Miami+MLS+listing", "A11950336")</f>
        <v/>
      </c>
      <c r="B191" s="16" t="inlineStr">
        <is>
          <t>250 NE 119th Terrace</t>
        </is>
      </c>
      <c r="C191" s="16" t="inlineStr">
        <is>
          <t>33161</t>
        </is>
      </c>
      <c r="D191" s="16" t="inlineStr">
        <is>
          <t>Miami-Dade County</t>
        </is>
      </c>
      <c r="E191" s="16" t="inlineStr">
        <is>
          <t>Duplex</t>
        </is>
      </c>
      <c r="F191" s="17" t="n">
        <v>2</v>
      </c>
      <c r="G191" s="18" t="n">
        <v>2500000</v>
      </c>
      <c r="H191" s="18" t="n">
        <v>14000</v>
      </c>
      <c r="I191" s="19">
        <f>H191/G191</f>
        <v/>
      </c>
      <c r="J191" s="18">
        <f>H191*(1-Assumptions!$B$4)</f>
        <v/>
      </c>
      <c r="K191" s="20">
        <f>PMT(Assumptions!$B$2/12, 360, -G191*(1-Assumptions!$B$3))</f>
        <v/>
      </c>
      <c r="L191" s="20">
        <f>J191+K191</f>
        <v/>
      </c>
      <c r="M191" s="21">
        <f>IF(I191&gt;=0.01,50,IF(I191&gt;=0.0095,37,IF(I191&gt;=0.009,25,12)))</f>
        <v/>
      </c>
      <c r="N191" s="21">
        <f>IF(L191&gt;=2000,30,IF(L191&gt;=1000,20,IF(L191&gt;=500,10,5)))</f>
        <v/>
      </c>
      <c r="O191" s="21" t="n">
        <v>20</v>
      </c>
      <c r="P191" s="22">
        <f>M191+N191+O191</f>
        <v/>
      </c>
      <c r="Q191" s="16" t="inlineStr">
        <is>
          <t>A11950336</t>
        </is>
      </c>
      <c r="R191" s="16" t="inlineStr"/>
      <c r="S191" s="16" t="inlineStr"/>
    </row>
    <row r="192">
      <c r="A192" s="15">
        <f>HYPERLINK("https://www.google.com/search?q=A11832667+Miami+MLS+listing", "A11832667")</f>
        <v/>
      </c>
      <c r="B192" s="16" t="inlineStr">
        <is>
          <t>8321 Crespi Blvd</t>
        </is>
      </c>
      <c r="C192" s="16" t="inlineStr">
        <is>
          <t>33141</t>
        </is>
      </c>
      <c r="D192" s="16" t="inlineStr">
        <is>
          <t>Miami-Dade County</t>
        </is>
      </c>
      <c r="E192" s="16" t="inlineStr">
        <is>
          <t>Fourplex</t>
        </is>
      </c>
      <c r="F192" s="17" t="n">
        <v>4</v>
      </c>
      <c r="G192" s="18" t="n">
        <v>2200000</v>
      </c>
      <c r="H192" s="18" t="n">
        <v>13400</v>
      </c>
      <c r="I192" s="19">
        <f>H192/G192</f>
        <v/>
      </c>
      <c r="J192" s="18">
        <f>H192*(1-Assumptions!$B$4)</f>
        <v/>
      </c>
      <c r="K192" s="20">
        <f>PMT(Assumptions!$B$2/12, 360, -G192*(1-Assumptions!$B$3))</f>
        <v/>
      </c>
      <c r="L192" s="20">
        <f>J192+K192</f>
        <v/>
      </c>
      <c r="M192" s="21">
        <f>IF(I192&gt;=0.01,50,IF(I192&gt;=0.0095,37,IF(I192&gt;=0.009,25,12)))</f>
        <v/>
      </c>
      <c r="N192" s="21">
        <f>IF(L192&gt;=2000,30,IF(L192&gt;=1000,20,IF(L192&gt;=500,10,5)))</f>
        <v/>
      </c>
      <c r="O192" s="21" t="n">
        <v>20</v>
      </c>
      <c r="P192" s="22">
        <f>M192+N192+O192</f>
        <v/>
      </c>
      <c r="Q192" s="16" t="inlineStr">
        <is>
          <t>A11832667</t>
        </is>
      </c>
      <c r="R192" s="16" t="inlineStr"/>
      <c r="S192" s="16" t="inlineStr"/>
    </row>
    <row r="193">
      <c r="A193" s="15">
        <f>HYPERLINK("https://www.google.com/search?q=A11945192+Miami+MLS+listing", "A11945192")</f>
        <v/>
      </c>
      <c r="B193" s="16" t="inlineStr">
        <is>
          <t>905 SW 13th Ct</t>
        </is>
      </c>
      <c r="C193" s="16" t="inlineStr">
        <is>
          <t>33135</t>
        </is>
      </c>
      <c r="D193" s="16" t="inlineStr">
        <is>
          <t>Miami-Dade County</t>
        </is>
      </c>
      <c r="E193" s="16" t="inlineStr">
        <is>
          <t>Fourplex</t>
        </is>
      </c>
      <c r="F193" s="17" t="n">
        <v>4</v>
      </c>
      <c r="G193" s="18" t="n">
        <v>2200000</v>
      </c>
      <c r="H193" s="18" t="n">
        <v>13000</v>
      </c>
      <c r="I193" s="19">
        <f>H193/G193</f>
        <v/>
      </c>
      <c r="J193" s="18">
        <f>H193*(1-Assumptions!$B$4)</f>
        <v/>
      </c>
      <c r="K193" s="20">
        <f>PMT(Assumptions!$B$2/12, 360, -G193*(1-Assumptions!$B$3))</f>
        <v/>
      </c>
      <c r="L193" s="20">
        <f>J193+K193</f>
        <v/>
      </c>
      <c r="M193" s="21">
        <f>IF(I193&gt;=0.01,50,IF(I193&gt;=0.0095,37,IF(I193&gt;=0.009,25,12)))</f>
        <v/>
      </c>
      <c r="N193" s="21">
        <f>IF(L193&gt;=2000,30,IF(L193&gt;=1000,20,IF(L193&gt;=500,10,5)))</f>
        <v/>
      </c>
      <c r="O193" s="21" t="n">
        <v>20</v>
      </c>
      <c r="P193" s="22">
        <f>M193+N193+O193</f>
        <v/>
      </c>
      <c r="Q193" s="16" t="inlineStr">
        <is>
          <t>A11945192</t>
        </is>
      </c>
      <c r="R193" s="16" t="inlineStr"/>
      <c r="S193" s="16" t="inlineStr"/>
    </row>
    <row r="194">
      <c r="A194" s="15">
        <f>HYPERLINK("https://www.google.com/search?q=A11922740+Miami+MLS+listing", "A11922740")</f>
        <v/>
      </c>
      <c r="B194" s="16" t="inlineStr">
        <is>
          <t>7124 Bay Dr</t>
        </is>
      </c>
      <c r="C194" s="16" t="inlineStr">
        <is>
          <t>33141</t>
        </is>
      </c>
      <c r="D194" s="16" t="inlineStr">
        <is>
          <t>Miami-Dade County</t>
        </is>
      </c>
      <c r="E194" s="16" t="inlineStr">
        <is>
          <t>Fourplex</t>
        </is>
      </c>
      <c r="F194" s="17" t="n">
        <v>4</v>
      </c>
      <c r="G194" s="18" t="n">
        <v>2290000</v>
      </c>
      <c r="H194" s="18" t="n">
        <v>12575</v>
      </c>
      <c r="I194" s="19">
        <f>H194/G194</f>
        <v/>
      </c>
      <c r="J194" s="18">
        <f>H194*(1-Assumptions!$B$4)</f>
        <v/>
      </c>
      <c r="K194" s="20">
        <f>PMT(Assumptions!$B$2/12, 360, -G194*(1-Assumptions!$B$3))</f>
        <v/>
      </c>
      <c r="L194" s="20">
        <f>J194+K194</f>
        <v/>
      </c>
      <c r="M194" s="21">
        <f>IF(I194&gt;=0.01,50,IF(I194&gt;=0.0095,37,IF(I194&gt;=0.009,25,12)))</f>
        <v/>
      </c>
      <c r="N194" s="21">
        <f>IF(L194&gt;=2000,30,IF(L194&gt;=1000,20,IF(L194&gt;=500,10,5)))</f>
        <v/>
      </c>
      <c r="O194" s="21" t="n">
        <v>20</v>
      </c>
      <c r="P194" s="22">
        <f>M194+N194+O194</f>
        <v/>
      </c>
      <c r="Q194" s="16" t="inlineStr">
        <is>
          <t>A11922740</t>
        </is>
      </c>
      <c r="R194" s="16" t="inlineStr"/>
      <c r="S194" s="16" t="inlineStr"/>
    </row>
    <row r="195">
      <c r="A195" s="15">
        <f>HYPERLINK("https://www.google.com/search?q=A11967730+Miami+MLS+listing", "A11967730")</f>
        <v/>
      </c>
      <c r="B195" s="16" t="inlineStr">
        <is>
          <t>734 Michigan Ave</t>
        </is>
      </c>
      <c r="C195" s="16" t="inlineStr">
        <is>
          <t>33139</t>
        </is>
      </c>
      <c r="D195" s="16" t="inlineStr">
        <is>
          <t>Miami-Dade County</t>
        </is>
      </c>
      <c r="E195" s="16" t="inlineStr">
        <is>
          <t>Duplex</t>
        </is>
      </c>
      <c r="F195" s="17" t="n">
        <v>2</v>
      </c>
      <c r="G195" s="18" t="n">
        <v>3040000</v>
      </c>
      <c r="H195" s="18" t="n">
        <v>12500</v>
      </c>
      <c r="I195" s="19">
        <f>H195/G195</f>
        <v/>
      </c>
      <c r="J195" s="18">
        <f>H195*(1-Assumptions!$B$4)</f>
        <v/>
      </c>
      <c r="K195" s="20">
        <f>PMT(Assumptions!$B$2/12, 360, -G195*(1-Assumptions!$B$3))</f>
        <v/>
      </c>
      <c r="L195" s="20">
        <f>J195+K195</f>
        <v/>
      </c>
      <c r="M195" s="21">
        <f>IF(I195&gt;=0.01,50,IF(I195&gt;=0.0095,37,IF(I195&gt;=0.009,25,12)))</f>
        <v/>
      </c>
      <c r="N195" s="21">
        <f>IF(L195&gt;=2000,30,IF(L195&gt;=1000,20,IF(L195&gt;=500,10,5)))</f>
        <v/>
      </c>
      <c r="O195" s="21" t="n">
        <v>20</v>
      </c>
      <c r="P195" s="22">
        <f>M195+N195+O195</f>
        <v/>
      </c>
      <c r="Q195" s="16" t="inlineStr">
        <is>
          <t>A11967730</t>
        </is>
      </c>
      <c r="R195" s="16" t="inlineStr"/>
      <c r="S195" s="16" t="inlineStr"/>
    </row>
    <row r="196">
      <c r="A196" s="15">
        <f>HYPERLINK("https://www.google.com/search?q=A11841234+Miami+MLS+listing", "A11841234")</f>
        <v/>
      </c>
      <c r="B196" s="16" t="inlineStr">
        <is>
          <t>1238 SW 4th St</t>
        </is>
      </c>
      <c r="C196" s="16" t="inlineStr">
        <is>
          <t>33135</t>
        </is>
      </c>
      <c r="D196" s="16" t="inlineStr">
        <is>
          <t>Miami-Dade County</t>
        </is>
      </c>
      <c r="E196" s="16" t="inlineStr">
        <is>
          <t>Fourplex</t>
        </is>
      </c>
      <c r="F196" s="17" t="n">
        <v>4</v>
      </c>
      <c r="G196" s="18" t="n">
        <v>1850000</v>
      </c>
      <c r="H196" s="18" t="n">
        <v>12400</v>
      </c>
      <c r="I196" s="19">
        <f>H196/G196</f>
        <v/>
      </c>
      <c r="J196" s="18">
        <f>H196*(1-Assumptions!$B$4)</f>
        <v/>
      </c>
      <c r="K196" s="20">
        <f>PMT(Assumptions!$B$2/12, 360, -G196*(1-Assumptions!$B$3))</f>
        <v/>
      </c>
      <c r="L196" s="20">
        <f>J196+K196</f>
        <v/>
      </c>
      <c r="M196" s="21">
        <f>IF(I196&gt;=0.01,50,IF(I196&gt;=0.0095,37,IF(I196&gt;=0.009,25,12)))</f>
        <v/>
      </c>
      <c r="N196" s="21">
        <f>IF(L196&gt;=2000,30,IF(L196&gt;=1000,20,IF(L196&gt;=500,10,5)))</f>
        <v/>
      </c>
      <c r="O196" s="21" t="n">
        <v>20</v>
      </c>
      <c r="P196" s="22">
        <f>M196+N196+O196</f>
        <v/>
      </c>
      <c r="Q196" s="16" t="inlineStr">
        <is>
          <t>A11841234</t>
        </is>
      </c>
      <c r="R196" s="16" t="inlineStr"/>
      <c r="S196" s="16" t="inlineStr"/>
    </row>
    <row r="197">
      <c r="A197" s="15">
        <f>HYPERLINK("https://www.google.com/search?q=A11864838+Miami+MLS+listing", "A11864838")</f>
        <v/>
      </c>
      <c r="B197" s="16" t="inlineStr">
        <is>
          <t>1924 SW 9th St</t>
        </is>
      </c>
      <c r="C197" s="16" t="inlineStr">
        <is>
          <t>33135</t>
        </is>
      </c>
      <c r="D197" s="16" t="inlineStr">
        <is>
          <t>Miami-Dade County</t>
        </is>
      </c>
      <c r="E197" s="16" t="inlineStr">
        <is>
          <t>Fourplex</t>
        </is>
      </c>
      <c r="F197" s="17" t="n">
        <v>4</v>
      </c>
      <c r="G197" s="18" t="n">
        <v>1685000</v>
      </c>
      <c r="H197" s="18" t="n">
        <v>12050</v>
      </c>
      <c r="I197" s="19">
        <f>H197/G197</f>
        <v/>
      </c>
      <c r="J197" s="18">
        <f>H197*(1-Assumptions!$B$4)</f>
        <v/>
      </c>
      <c r="K197" s="20">
        <f>PMT(Assumptions!$B$2/12, 360, -G197*(1-Assumptions!$B$3))</f>
        <v/>
      </c>
      <c r="L197" s="20">
        <f>J197+K197</f>
        <v/>
      </c>
      <c r="M197" s="21">
        <f>IF(I197&gt;=0.01,50,IF(I197&gt;=0.0095,37,IF(I197&gt;=0.009,25,12)))</f>
        <v/>
      </c>
      <c r="N197" s="21">
        <f>IF(L197&gt;=2000,30,IF(L197&gt;=1000,20,IF(L197&gt;=500,10,5)))</f>
        <v/>
      </c>
      <c r="O197" s="21" t="n">
        <v>20</v>
      </c>
      <c r="P197" s="22">
        <f>M197+N197+O197</f>
        <v/>
      </c>
      <c r="Q197" s="16" t="inlineStr">
        <is>
          <t>A11864838</t>
        </is>
      </c>
      <c r="R197" s="16" t="inlineStr"/>
      <c r="S197" s="16" t="inlineStr"/>
    </row>
    <row r="198">
      <c r="A198" s="15">
        <f>HYPERLINK("https://www.google.com/search?q=A11745558+Miami+MLS+listing", "A11745558")</f>
        <v/>
      </c>
      <c r="B198" s="16" t="inlineStr">
        <is>
          <t>7025 Rue Granville</t>
        </is>
      </c>
      <c r="C198" s="16" t="inlineStr">
        <is>
          <t>33141</t>
        </is>
      </c>
      <c r="D198" s="16" t="inlineStr">
        <is>
          <t>Miami-Dade County</t>
        </is>
      </c>
      <c r="E198" s="16" t="inlineStr">
        <is>
          <t>Fourplex</t>
        </is>
      </c>
      <c r="F198" s="17" t="n">
        <v>4</v>
      </c>
      <c r="G198" s="18" t="n">
        <v>1765000</v>
      </c>
      <c r="H198" s="18" t="n">
        <v>11150</v>
      </c>
      <c r="I198" s="19">
        <f>H198/G198</f>
        <v/>
      </c>
      <c r="J198" s="18">
        <f>H198*(1-Assumptions!$B$4)</f>
        <v/>
      </c>
      <c r="K198" s="20">
        <f>PMT(Assumptions!$B$2/12, 360, -G198*(1-Assumptions!$B$3))</f>
        <v/>
      </c>
      <c r="L198" s="20">
        <f>J198+K198</f>
        <v/>
      </c>
      <c r="M198" s="21">
        <f>IF(I198&gt;=0.01,50,IF(I198&gt;=0.0095,37,IF(I198&gt;=0.009,25,12)))</f>
        <v/>
      </c>
      <c r="N198" s="21">
        <f>IF(L198&gt;=2000,30,IF(L198&gt;=1000,20,IF(L198&gt;=500,10,5)))</f>
        <v/>
      </c>
      <c r="O198" s="21" t="n">
        <v>20</v>
      </c>
      <c r="P198" s="22">
        <f>M198+N198+O198</f>
        <v/>
      </c>
      <c r="Q198" s="16" t="inlineStr">
        <is>
          <t>A11745558</t>
        </is>
      </c>
      <c r="R198" s="16" t="inlineStr"/>
      <c r="S198" s="16" t="inlineStr"/>
    </row>
    <row r="199">
      <c r="A199" s="15">
        <f>HYPERLINK("https://www.google.com/search?q=A11950199+Miami+MLS+listing", "A11950199")</f>
        <v/>
      </c>
      <c r="B199" s="16" t="inlineStr">
        <is>
          <t>625 77th St</t>
        </is>
      </c>
      <c r="C199" s="16" t="inlineStr">
        <is>
          <t>33141</t>
        </is>
      </c>
      <c r="D199" s="16" t="inlineStr">
        <is>
          <t>Miami-Dade County</t>
        </is>
      </c>
      <c r="E199" s="16" t="inlineStr">
        <is>
          <t>Fourplex</t>
        </is>
      </c>
      <c r="F199" s="17" t="n">
        <v>4</v>
      </c>
      <c r="G199" s="18" t="n">
        <v>1550000</v>
      </c>
      <c r="H199" s="18" t="n">
        <v>9400</v>
      </c>
      <c r="I199" s="19">
        <f>H199/G199</f>
        <v/>
      </c>
      <c r="J199" s="18">
        <f>H199*(1-Assumptions!$B$4)</f>
        <v/>
      </c>
      <c r="K199" s="20">
        <f>PMT(Assumptions!$B$2/12, 360, -G199*(1-Assumptions!$B$3))</f>
        <v/>
      </c>
      <c r="L199" s="20">
        <f>J199+K199</f>
        <v/>
      </c>
      <c r="M199" s="21">
        <f>IF(I199&gt;=0.01,50,IF(I199&gt;=0.0095,37,IF(I199&gt;=0.009,25,12)))</f>
        <v/>
      </c>
      <c r="N199" s="21">
        <f>IF(L199&gt;=2000,30,IF(L199&gt;=1000,20,IF(L199&gt;=500,10,5)))</f>
        <v/>
      </c>
      <c r="O199" s="21" t="n">
        <v>20</v>
      </c>
      <c r="P199" s="22">
        <f>M199+N199+O199</f>
        <v/>
      </c>
      <c r="Q199" s="16" t="inlineStr">
        <is>
          <t>A11950199</t>
        </is>
      </c>
      <c r="R199" s="16" t="inlineStr"/>
      <c r="S199" s="16" t="inlineStr"/>
    </row>
    <row r="200">
      <c r="A200" s="15">
        <f>HYPERLINK("https://www.google.com/search?q=A11745572+Miami+MLS+listing", "A11745572")</f>
        <v/>
      </c>
      <c r="B200" s="16" t="inlineStr">
        <is>
          <t>7035 Rue Granville</t>
        </is>
      </c>
      <c r="C200" s="16" t="inlineStr">
        <is>
          <t>33141</t>
        </is>
      </c>
      <c r="D200" s="16" t="inlineStr">
        <is>
          <t>Miami-Dade County</t>
        </is>
      </c>
      <c r="E200" s="16" t="inlineStr">
        <is>
          <t>Fourplex</t>
        </is>
      </c>
      <c r="F200" s="17" t="n">
        <v>4</v>
      </c>
      <c r="G200" s="18" t="n">
        <v>1675000</v>
      </c>
      <c r="H200" s="18" t="n">
        <v>10500</v>
      </c>
      <c r="I200" s="19">
        <f>H200/G200</f>
        <v/>
      </c>
      <c r="J200" s="18">
        <f>H200*(1-Assumptions!$B$4)</f>
        <v/>
      </c>
      <c r="K200" s="20">
        <f>PMT(Assumptions!$B$2/12, 360, -G200*(1-Assumptions!$B$3))</f>
        <v/>
      </c>
      <c r="L200" s="20">
        <f>J200+K200</f>
        <v/>
      </c>
      <c r="M200" s="21">
        <f>IF(I200&gt;=0.01,50,IF(I200&gt;=0.0095,37,IF(I200&gt;=0.009,25,12)))</f>
        <v/>
      </c>
      <c r="N200" s="21">
        <f>IF(L200&gt;=2000,30,IF(L200&gt;=1000,20,IF(L200&gt;=500,10,5)))</f>
        <v/>
      </c>
      <c r="O200" s="21" t="n">
        <v>20</v>
      </c>
      <c r="P200" s="22">
        <f>M200+N200+O200</f>
        <v/>
      </c>
      <c r="Q200" s="16" t="inlineStr">
        <is>
          <t>A11745572</t>
        </is>
      </c>
      <c r="R200" s="16" t="inlineStr"/>
      <c r="S200" s="16" t="inlineStr"/>
    </row>
    <row r="201">
      <c r="A201" s="15">
        <f>HYPERLINK("https://www.google.com/search?q=A11939771+Miami+MLS+listing", "A11939771")</f>
        <v/>
      </c>
      <c r="B201" s="16" t="inlineStr">
        <is>
          <t>1736 SW 9th St</t>
        </is>
      </c>
      <c r="C201" s="16" t="inlineStr">
        <is>
          <t>33135</t>
        </is>
      </c>
      <c r="D201" s="16" t="inlineStr">
        <is>
          <t>Miami-Dade County</t>
        </is>
      </c>
      <c r="E201" s="16" t="inlineStr">
        <is>
          <t>Fourplex</t>
        </is>
      </c>
      <c r="F201" s="17" t="n">
        <v>4</v>
      </c>
      <c r="G201" s="18" t="n">
        <v>1995000</v>
      </c>
      <c r="H201" s="18" t="n">
        <v>10500</v>
      </c>
      <c r="I201" s="19">
        <f>H201/G201</f>
        <v/>
      </c>
      <c r="J201" s="18">
        <f>H201*(1-Assumptions!$B$4)</f>
        <v/>
      </c>
      <c r="K201" s="20">
        <f>PMT(Assumptions!$B$2/12, 360, -G201*(1-Assumptions!$B$3))</f>
        <v/>
      </c>
      <c r="L201" s="20">
        <f>J201+K201</f>
        <v/>
      </c>
      <c r="M201" s="21">
        <f>IF(I201&gt;=0.01,50,IF(I201&gt;=0.0095,37,IF(I201&gt;=0.009,25,12)))</f>
        <v/>
      </c>
      <c r="N201" s="21">
        <f>IF(L201&gt;=2000,30,IF(L201&gt;=1000,20,IF(L201&gt;=500,10,5)))</f>
        <v/>
      </c>
      <c r="O201" s="21" t="n">
        <v>20</v>
      </c>
      <c r="P201" s="22">
        <f>M201+N201+O201</f>
        <v/>
      </c>
      <c r="Q201" s="16" t="inlineStr">
        <is>
          <t>A11939771</t>
        </is>
      </c>
      <c r="R201" s="16" t="inlineStr"/>
      <c r="S201" s="16" t="inlineStr"/>
    </row>
    <row r="202">
      <c r="A202" s="15">
        <f>HYPERLINK("https://www.google.com/search?q=A11900646+Miami+MLS+listing", "A11900646")</f>
        <v/>
      </c>
      <c r="B202" s="16" t="inlineStr">
        <is>
          <t>16103 NE 19th Ct</t>
        </is>
      </c>
      <c r="C202" s="16" t="inlineStr">
        <is>
          <t>33162</t>
        </is>
      </c>
      <c r="D202" s="16" t="inlineStr">
        <is>
          <t>Miami-Dade County</t>
        </is>
      </c>
      <c r="E202" s="16" t="inlineStr">
        <is>
          <t>Fourplex</t>
        </is>
      </c>
      <c r="F202" s="17" t="n">
        <v>4</v>
      </c>
      <c r="G202" s="18" t="n">
        <v>1600000</v>
      </c>
      <c r="H202" s="18" t="n">
        <v>10430</v>
      </c>
      <c r="I202" s="19">
        <f>H202/G202</f>
        <v/>
      </c>
      <c r="J202" s="18">
        <f>H202*(1-Assumptions!$B$4)</f>
        <v/>
      </c>
      <c r="K202" s="20">
        <f>PMT(Assumptions!$B$2/12, 360, -G202*(1-Assumptions!$B$3))</f>
        <v/>
      </c>
      <c r="L202" s="20">
        <f>J202+K202</f>
        <v/>
      </c>
      <c r="M202" s="21">
        <f>IF(I202&gt;=0.01,50,IF(I202&gt;=0.0095,37,IF(I202&gt;=0.009,25,12)))</f>
        <v/>
      </c>
      <c r="N202" s="21">
        <f>IF(L202&gt;=2000,30,IF(L202&gt;=1000,20,IF(L202&gt;=500,10,5)))</f>
        <v/>
      </c>
      <c r="O202" s="21" t="n">
        <v>20</v>
      </c>
      <c r="P202" s="22">
        <f>M202+N202+O202</f>
        <v/>
      </c>
      <c r="Q202" s="16" t="inlineStr">
        <is>
          <t>A11900646</t>
        </is>
      </c>
      <c r="R202" s="16" t="inlineStr"/>
      <c r="S202" s="16" t="inlineStr"/>
    </row>
    <row r="203">
      <c r="A203" s="15">
        <f>HYPERLINK("https://www.google.com/search?q=A11952416+Miami+MLS+listing", "A11952416")</f>
        <v/>
      </c>
      <c r="B203" s="16" t="inlineStr">
        <is>
          <t>529 SW 3rd St</t>
        </is>
      </c>
      <c r="C203" s="16" t="inlineStr">
        <is>
          <t>33130</t>
        </is>
      </c>
      <c r="D203" s="16" t="inlineStr">
        <is>
          <t>Miami-Dade County</t>
        </is>
      </c>
      <c r="E203" s="16" t="inlineStr">
        <is>
          <t>Triplex</t>
        </is>
      </c>
      <c r="F203" s="17" t="n">
        <v>3</v>
      </c>
      <c r="G203" s="18" t="n">
        <v>1550000</v>
      </c>
      <c r="H203" s="18" t="n">
        <v>10100</v>
      </c>
      <c r="I203" s="19">
        <f>H203/G203</f>
        <v/>
      </c>
      <c r="J203" s="18">
        <f>H203*(1-Assumptions!$B$4)</f>
        <v/>
      </c>
      <c r="K203" s="20">
        <f>PMT(Assumptions!$B$2/12, 360, -G203*(1-Assumptions!$B$3))</f>
        <v/>
      </c>
      <c r="L203" s="20">
        <f>J203+K203</f>
        <v/>
      </c>
      <c r="M203" s="21">
        <f>IF(I203&gt;=0.01,50,IF(I203&gt;=0.0095,37,IF(I203&gt;=0.009,25,12)))</f>
        <v/>
      </c>
      <c r="N203" s="21">
        <f>IF(L203&gt;=2000,30,IF(L203&gt;=1000,20,IF(L203&gt;=500,10,5)))</f>
        <v/>
      </c>
      <c r="O203" s="21" t="n">
        <v>20</v>
      </c>
      <c r="P203" s="22">
        <f>M203+N203+O203</f>
        <v/>
      </c>
      <c r="Q203" s="16" t="inlineStr">
        <is>
          <t>A11952416</t>
        </is>
      </c>
      <c r="R203" s="16" t="inlineStr"/>
      <c r="S203" s="16" t="inlineStr"/>
    </row>
    <row r="204">
      <c r="A204" s="15">
        <f>HYPERLINK("https://www.google.com/search?q=A11977715+Miami+MLS+listing", "A11977715")</f>
        <v/>
      </c>
      <c r="B204" s="16" t="inlineStr">
        <is>
          <t>2816 Pine Tree Dr</t>
        </is>
      </c>
      <c r="C204" s="16" t="inlineStr">
        <is>
          <t>33140</t>
        </is>
      </c>
      <c r="D204" s="16" t="inlineStr">
        <is>
          <t>Miami-Dade County</t>
        </is>
      </c>
      <c r="E204" s="16" t="inlineStr">
        <is>
          <t>Fourplex</t>
        </is>
      </c>
      <c r="F204" s="17" t="n">
        <v>4</v>
      </c>
      <c r="G204" s="18" t="n">
        <v>1550000</v>
      </c>
      <c r="H204" s="18" t="n">
        <v>10100</v>
      </c>
      <c r="I204" s="19">
        <f>H204/G204</f>
        <v/>
      </c>
      <c r="J204" s="18">
        <f>H204*(1-Assumptions!$B$4)</f>
        <v/>
      </c>
      <c r="K204" s="20">
        <f>PMT(Assumptions!$B$2/12, 360, -G204*(1-Assumptions!$B$3))</f>
        <v/>
      </c>
      <c r="L204" s="20">
        <f>J204+K204</f>
        <v/>
      </c>
      <c r="M204" s="21">
        <f>IF(I204&gt;=0.01,50,IF(I204&gt;=0.0095,37,IF(I204&gt;=0.009,25,12)))</f>
        <v/>
      </c>
      <c r="N204" s="21">
        <f>IF(L204&gt;=2000,30,IF(L204&gt;=1000,20,IF(L204&gt;=500,10,5)))</f>
        <v/>
      </c>
      <c r="O204" s="21" t="n">
        <v>20</v>
      </c>
      <c r="P204" s="22">
        <f>M204+N204+O204</f>
        <v/>
      </c>
      <c r="Q204" s="16" t="inlineStr">
        <is>
          <t>A11977715</t>
        </is>
      </c>
      <c r="R204" s="16" t="inlineStr"/>
      <c r="S204" s="16" t="inlineStr"/>
    </row>
    <row r="205">
      <c r="A205" s="15">
        <f>HYPERLINK("https://www.google.com/search?q=A11941467+Miami+MLS+listing", "A11941467")</f>
        <v/>
      </c>
      <c r="B205" s="16" t="inlineStr">
        <is>
          <t>418 NW 9th Ave</t>
        </is>
      </c>
      <c r="C205" s="16" t="inlineStr">
        <is>
          <t>33128</t>
        </is>
      </c>
      <c r="D205" s="16" t="inlineStr">
        <is>
          <t>Miami-Dade County</t>
        </is>
      </c>
      <c r="E205" s="16" t="inlineStr">
        <is>
          <t>Fourplex</t>
        </is>
      </c>
      <c r="F205" s="17" t="n">
        <v>4</v>
      </c>
      <c r="G205" s="18" t="n">
        <v>1585000</v>
      </c>
      <c r="H205" s="18" t="n">
        <v>10030</v>
      </c>
      <c r="I205" s="19">
        <f>H205/G205</f>
        <v/>
      </c>
      <c r="J205" s="18">
        <f>H205*(1-Assumptions!$B$4)</f>
        <v/>
      </c>
      <c r="K205" s="20">
        <f>PMT(Assumptions!$B$2/12, 360, -G205*(1-Assumptions!$B$3))</f>
        <v/>
      </c>
      <c r="L205" s="20">
        <f>J205+K205</f>
        <v/>
      </c>
      <c r="M205" s="21">
        <f>IF(I205&gt;=0.01,50,IF(I205&gt;=0.0095,37,IF(I205&gt;=0.009,25,12)))</f>
        <v/>
      </c>
      <c r="N205" s="21">
        <f>IF(L205&gt;=2000,30,IF(L205&gt;=1000,20,IF(L205&gt;=500,10,5)))</f>
        <v/>
      </c>
      <c r="O205" s="21" t="n">
        <v>20</v>
      </c>
      <c r="P205" s="22">
        <f>M205+N205+O205</f>
        <v/>
      </c>
      <c r="Q205" s="16" t="inlineStr">
        <is>
          <t>A11941467</t>
        </is>
      </c>
      <c r="R205" s="16" t="inlineStr"/>
      <c r="S205" s="16" t="inlineStr"/>
    </row>
    <row r="206">
      <c r="A206" s="15">
        <f>HYPERLINK("https://www.google.com/search?q=A11927845+Miami+MLS+listing", "A11927845")</f>
        <v/>
      </c>
      <c r="B206" s="16" t="inlineStr">
        <is>
          <t>2155 SW 72nd Ave</t>
        </is>
      </c>
      <c r="C206" s="16" t="inlineStr">
        <is>
          <t>33155</t>
        </is>
      </c>
      <c r="D206" s="16" t="inlineStr">
        <is>
          <t>Miami-Dade County</t>
        </is>
      </c>
      <c r="E206" s="16" t="inlineStr">
        <is>
          <t>Fourplex</t>
        </is>
      </c>
      <c r="F206" s="17" t="n">
        <v>4</v>
      </c>
      <c r="G206" s="18" t="n">
        <v>2200000</v>
      </c>
      <c r="H206" s="18" t="n">
        <v>10000</v>
      </c>
      <c r="I206" s="19">
        <f>H206/G206</f>
        <v/>
      </c>
      <c r="J206" s="18">
        <f>H206*(1-Assumptions!$B$4)</f>
        <v/>
      </c>
      <c r="K206" s="20">
        <f>PMT(Assumptions!$B$2/12, 360, -G206*(1-Assumptions!$B$3))</f>
        <v/>
      </c>
      <c r="L206" s="20">
        <f>J206+K206</f>
        <v/>
      </c>
      <c r="M206" s="21">
        <f>IF(I206&gt;=0.01,50,IF(I206&gt;=0.0095,37,IF(I206&gt;=0.009,25,12)))</f>
        <v/>
      </c>
      <c r="N206" s="21">
        <f>IF(L206&gt;=2000,30,IF(L206&gt;=1000,20,IF(L206&gt;=500,10,5)))</f>
        <v/>
      </c>
      <c r="O206" s="21" t="n">
        <v>20</v>
      </c>
      <c r="P206" s="22">
        <f>M206+N206+O206</f>
        <v/>
      </c>
      <c r="Q206" s="16" t="inlineStr">
        <is>
          <t>A11927845</t>
        </is>
      </c>
      <c r="R206" s="16" t="inlineStr"/>
      <c r="S206" s="16" t="inlineStr"/>
    </row>
    <row r="207">
      <c r="A207" s="15">
        <f>HYPERLINK("https://www.google.com/search?q=A11908123+Miami+MLS+listing", "A11908123")</f>
        <v/>
      </c>
      <c r="B207" s="16" t="inlineStr">
        <is>
          <t>1131 SW 7th St</t>
        </is>
      </c>
      <c r="C207" s="16" t="inlineStr">
        <is>
          <t>33130</t>
        </is>
      </c>
      <c r="D207" s="16" t="inlineStr">
        <is>
          <t>Miami-Dade County</t>
        </is>
      </c>
      <c r="E207" s="16" t="inlineStr">
        <is>
          <t>Fourplex</t>
        </is>
      </c>
      <c r="F207" s="17" t="n">
        <v>4</v>
      </c>
      <c r="G207" s="18" t="n">
        <v>2500000</v>
      </c>
      <c r="H207" s="18" t="n">
        <v>9950</v>
      </c>
      <c r="I207" s="19">
        <f>H207/G207</f>
        <v/>
      </c>
      <c r="J207" s="18">
        <f>H207*(1-Assumptions!$B$4)</f>
        <v/>
      </c>
      <c r="K207" s="20">
        <f>PMT(Assumptions!$B$2/12, 360, -G207*(1-Assumptions!$B$3))</f>
        <v/>
      </c>
      <c r="L207" s="20">
        <f>J207+K207</f>
        <v/>
      </c>
      <c r="M207" s="21">
        <f>IF(I207&gt;=0.01,50,IF(I207&gt;=0.0095,37,IF(I207&gt;=0.009,25,12)))</f>
        <v/>
      </c>
      <c r="N207" s="21">
        <f>IF(L207&gt;=2000,30,IF(L207&gt;=1000,20,IF(L207&gt;=500,10,5)))</f>
        <v/>
      </c>
      <c r="O207" s="21" t="n">
        <v>20</v>
      </c>
      <c r="P207" s="22">
        <f>M207+N207+O207</f>
        <v/>
      </c>
      <c r="Q207" s="16" t="inlineStr">
        <is>
          <t>A11908123</t>
        </is>
      </c>
      <c r="R207" s="16" t="inlineStr"/>
      <c r="S207" s="16" t="inlineStr"/>
    </row>
    <row r="208">
      <c r="A208" s="15">
        <f>HYPERLINK("https://www.google.com/search?q=A11840757+Miami+MLS+listing", "A11840757")</f>
        <v/>
      </c>
      <c r="B208" s="16" t="inlineStr">
        <is>
          <t>950 79th Ter</t>
        </is>
      </c>
      <c r="C208" s="16" t="inlineStr">
        <is>
          <t>33141</t>
        </is>
      </c>
      <c r="D208" s="16" t="inlineStr">
        <is>
          <t>Miami-Dade County</t>
        </is>
      </c>
      <c r="E208" s="16" t="inlineStr">
        <is>
          <t>Fourplex</t>
        </is>
      </c>
      <c r="F208" s="17" t="n">
        <v>4</v>
      </c>
      <c r="G208" s="18" t="n">
        <v>2450000</v>
      </c>
      <c r="H208" s="18" t="n">
        <v>9800</v>
      </c>
      <c r="I208" s="19">
        <f>H208/G208</f>
        <v/>
      </c>
      <c r="J208" s="18">
        <f>H208*(1-Assumptions!$B$4)</f>
        <v/>
      </c>
      <c r="K208" s="20">
        <f>PMT(Assumptions!$B$2/12, 360, -G208*(1-Assumptions!$B$3))</f>
        <v/>
      </c>
      <c r="L208" s="20">
        <f>J208+K208</f>
        <v/>
      </c>
      <c r="M208" s="21">
        <f>IF(I208&gt;=0.01,50,IF(I208&gt;=0.0095,37,IF(I208&gt;=0.009,25,12)))</f>
        <v/>
      </c>
      <c r="N208" s="21">
        <f>IF(L208&gt;=2000,30,IF(L208&gt;=1000,20,IF(L208&gt;=500,10,5)))</f>
        <v/>
      </c>
      <c r="O208" s="21" t="n">
        <v>20</v>
      </c>
      <c r="P208" s="22">
        <f>M208+N208+O208</f>
        <v/>
      </c>
      <c r="Q208" s="16" t="inlineStr">
        <is>
          <t>A11840757</t>
        </is>
      </c>
      <c r="R208" s="16" t="inlineStr"/>
      <c r="S208" s="16" t="inlineStr"/>
    </row>
    <row r="209">
      <c r="A209" s="15">
        <f>HYPERLINK("https://www.google.com/search?q=A11648020+Miami+MLS+listing", "A11648020")</f>
        <v/>
      </c>
      <c r="B209" s="16" t="inlineStr">
        <is>
          <t>800 NE 85th St</t>
        </is>
      </c>
      <c r="C209" s="16" t="inlineStr">
        <is>
          <t>33138</t>
        </is>
      </c>
      <c r="D209" s="16" t="inlineStr">
        <is>
          <t>Miami-Dade County</t>
        </is>
      </c>
      <c r="E209" s="16" t="inlineStr">
        <is>
          <t>Fourplex</t>
        </is>
      </c>
      <c r="F209" s="17" t="n">
        <v>4</v>
      </c>
      <c r="G209" s="18" t="n">
        <v>1500000</v>
      </c>
      <c r="H209" s="18" t="n">
        <v>9525</v>
      </c>
      <c r="I209" s="19">
        <f>H209/G209</f>
        <v/>
      </c>
      <c r="J209" s="18">
        <f>H209*(1-Assumptions!$B$4)</f>
        <v/>
      </c>
      <c r="K209" s="20">
        <f>PMT(Assumptions!$B$2/12, 360, -G209*(1-Assumptions!$B$3))</f>
        <v/>
      </c>
      <c r="L209" s="20">
        <f>J209+K209</f>
        <v/>
      </c>
      <c r="M209" s="21">
        <f>IF(I209&gt;=0.01,50,IF(I209&gt;=0.0095,37,IF(I209&gt;=0.009,25,12)))</f>
        <v/>
      </c>
      <c r="N209" s="21">
        <f>IF(L209&gt;=2000,30,IF(L209&gt;=1000,20,IF(L209&gt;=500,10,5)))</f>
        <v/>
      </c>
      <c r="O209" s="21" t="n">
        <v>20</v>
      </c>
      <c r="P209" s="22">
        <f>M209+N209+O209</f>
        <v/>
      </c>
      <c r="Q209" s="16" t="inlineStr">
        <is>
          <t>A11648020</t>
        </is>
      </c>
      <c r="R209" s="16" t="inlineStr"/>
      <c r="S209" s="16" t="inlineStr"/>
    </row>
    <row r="210">
      <c r="A210" s="15">
        <f>HYPERLINK("https://www.google.com/search?q=A11753898+Miami+MLS+listing", "A11753898")</f>
        <v/>
      </c>
      <c r="B210" s="16" t="inlineStr">
        <is>
          <t>4727 NE 1st Ct</t>
        </is>
      </c>
      <c r="C210" s="16" t="inlineStr">
        <is>
          <t>33137</t>
        </is>
      </c>
      <c r="D210" s="16" t="inlineStr">
        <is>
          <t>Miami-Dade County</t>
        </is>
      </c>
      <c r="E210" s="16" t="inlineStr">
        <is>
          <t>Duplex</t>
        </is>
      </c>
      <c r="F210" s="17" t="n">
        <v>2</v>
      </c>
      <c r="G210" s="18" t="n">
        <v>2185000</v>
      </c>
      <c r="H210" s="18" t="n">
        <v>9500</v>
      </c>
      <c r="I210" s="19">
        <f>H210/G210</f>
        <v/>
      </c>
      <c r="J210" s="18">
        <f>H210*(1-Assumptions!$B$4)</f>
        <v/>
      </c>
      <c r="K210" s="20">
        <f>PMT(Assumptions!$B$2/12, 360, -G210*(1-Assumptions!$B$3))</f>
        <v/>
      </c>
      <c r="L210" s="20">
        <f>J210+K210</f>
        <v/>
      </c>
      <c r="M210" s="21">
        <f>IF(I210&gt;=0.01,50,IF(I210&gt;=0.0095,37,IF(I210&gt;=0.009,25,12)))</f>
        <v/>
      </c>
      <c r="N210" s="21">
        <f>IF(L210&gt;=2000,30,IF(L210&gt;=1000,20,IF(L210&gt;=500,10,5)))</f>
        <v/>
      </c>
      <c r="O210" s="21" t="n">
        <v>20</v>
      </c>
      <c r="P210" s="22">
        <f>M210+N210+O210</f>
        <v/>
      </c>
      <c r="Q210" s="16" t="inlineStr">
        <is>
          <t>A11753898</t>
        </is>
      </c>
      <c r="R210" s="16" t="inlineStr"/>
      <c r="S210" s="16" t="inlineStr"/>
    </row>
    <row r="211">
      <c r="A211" s="15">
        <f>HYPERLINK("https://www.google.com/search?q=A11857848+Miami+MLS+listing", "A11857848")</f>
        <v/>
      </c>
      <c r="B211" s="16" t="inlineStr">
        <is>
          <t>1376 NW 35th St</t>
        </is>
      </c>
      <c r="C211" s="16" t="inlineStr">
        <is>
          <t>33142</t>
        </is>
      </c>
      <c r="D211" s="16" t="inlineStr">
        <is>
          <t>Miami-Dade County</t>
        </is>
      </c>
      <c r="E211" s="16" t="inlineStr">
        <is>
          <t>Fourplex</t>
        </is>
      </c>
      <c r="F211" s="17" t="n">
        <v>4</v>
      </c>
      <c r="G211" s="18" t="n">
        <v>1550000</v>
      </c>
      <c r="H211" s="18" t="n">
        <v>9400</v>
      </c>
      <c r="I211" s="19">
        <f>H211/G211</f>
        <v/>
      </c>
      <c r="J211" s="18">
        <f>H211*(1-Assumptions!$B$4)</f>
        <v/>
      </c>
      <c r="K211" s="20">
        <f>PMT(Assumptions!$B$2/12, 360, -G211*(1-Assumptions!$B$3))</f>
        <v/>
      </c>
      <c r="L211" s="20">
        <f>J211+K211</f>
        <v/>
      </c>
      <c r="M211" s="21">
        <f>IF(I211&gt;=0.01,50,IF(I211&gt;=0.0095,37,IF(I211&gt;=0.009,25,12)))</f>
        <v/>
      </c>
      <c r="N211" s="21">
        <f>IF(L211&gt;=2000,30,IF(L211&gt;=1000,20,IF(L211&gt;=500,10,5)))</f>
        <v/>
      </c>
      <c r="O211" s="21" t="n">
        <v>20</v>
      </c>
      <c r="P211" s="22">
        <f>M211+N211+O211</f>
        <v/>
      </c>
      <c r="Q211" s="16" t="inlineStr">
        <is>
          <t>A11857848</t>
        </is>
      </c>
      <c r="R211" s="16" t="inlineStr"/>
      <c r="S211" s="16" t="inlineStr"/>
    </row>
    <row r="212">
      <c r="A212" s="15">
        <f>HYPERLINK("https://www.google.com/search?q=A11856839+Miami+MLS+listing", "A11856839")</f>
        <v/>
      </c>
      <c r="B212" s="16" t="inlineStr">
        <is>
          <t>1958 NE 172nd St</t>
        </is>
      </c>
      <c r="C212" s="16" t="inlineStr">
        <is>
          <t>33162</t>
        </is>
      </c>
      <c r="D212" s="16" t="inlineStr">
        <is>
          <t>Miami-Dade County</t>
        </is>
      </c>
      <c r="E212" s="16" t="inlineStr">
        <is>
          <t>Fourplex</t>
        </is>
      </c>
      <c r="F212" s="17" t="n">
        <v>4</v>
      </c>
      <c r="G212" s="18" t="n">
        <v>1079000</v>
      </c>
      <c r="H212" s="18" t="n">
        <v>7300</v>
      </c>
      <c r="I212" s="19">
        <f>H212/G212</f>
        <v/>
      </c>
      <c r="J212" s="18">
        <f>H212*(1-Assumptions!$B$4)</f>
        <v/>
      </c>
      <c r="K212" s="20">
        <f>PMT(Assumptions!$B$2/12, 360, -G212*(1-Assumptions!$B$3))</f>
        <v/>
      </c>
      <c r="L212" s="20">
        <f>J212+K212</f>
        <v/>
      </c>
      <c r="M212" s="21">
        <f>IF(I212&gt;=0.01,50,IF(I212&gt;=0.0095,37,IF(I212&gt;=0.009,25,12)))</f>
        <v/>
      </c>
      <c r="N212" s="21">
        <f>IF(L212&gt;=2000,30,IF(L212&gt;=1000,20,IF(L212&gt;=500,10,5)))</f>
        <v/>
      </c>
      <c r="O212" s="21" t="n">
        <v>20</v>
      </c>
      <c r="P212" s="22">
        <f>M212+N212+O212</f>
        <v/>
      </c>
      <c r="Q212" s="16" t="inlineStr">
        <is>
          <t>A11856839</t>
        </is>
      </c>
      <c r="R212" s="16" t="inlineStr"/>
      <c r="S212" s="16" t="inlineStr"/>
    </row>
    <row r="213">
      <c r="A213" s="15">
        <f>HYPERLINK("https://www.google.com/search?q=A11976120+Miami+MLS+listing", "A11976120")</f>
        <v/>
      </c>
      <c r="B213" s="16" t="inlineStr">
        <is>
          <t>831 NW 34th Ave</t>
        </is>
      </c>
      <c r="C213" s="16" t="inlineStr">
        <is>
          <t>33125</t>
        </is>
      </c>
      <c r="D213" s="16" t="inlineStr">
        <is>
          <t>Miami-Dade County</t>
        </is>
      </c>
      <c r="E213" s="16" t="inlineStr">
        <is>
          <t>Duplex</t>
        </is>
      </c>
      <c r="F213" s="17" t="n">
        <v>2</v>
      </c>
      <c r="G213" s="18" t="n">
        <v>739990</v>
      </c>
      <c r="H213" s="18" t="n">
        <v>4</v>
      </c>
      <c r="I213" s="19">
        <f>H213/G213</f>
        <v/>
      </c>
      <c r="J213" s="18">
        <f>H213*(1-Assumptions!$B$4)</f>
        <v/>
      </c>
      <c r="K213" s="20">
        <f>PMT(Assumptions!$B$2/12, 360, -G213*(1-Assumptions!$B$3))</f>
        <v/>
      </c>
      <c r="L213" s="20">
        <f>J213+K213</f>
        <v/>
      </c>
      <c r="M213" s="21">
        <f>IF(I213&gt;=0.01,50,IF(I213&gt;=0.0095,37,IF(I213&gt;=0.009,25,12)))</f>
        <v/>
      </c>
      <c r="N213" s="21">
        <f>IF(L213&gt;=2000,30,IF(L213&gt;=1000,20,IF(L213&gt;=500,10,5)))</f>
        <v/>
      </c>
      <c r="O213" s="21" t="n">
        <v>20</v>
      </c>
      <c r="P213" s="22">
        <f>M213+N213+O213</f>
        <v/>
      </c>
      <c r="Q213" s="16" t="inlineStr">
        <is>
          <t>A11976120</t>
        </is>
      </c>
      <c r="R213" s="16" t="inlineStr"/>
      <c r="S213" s="16" t="inlineStr"/>
    </row>
    <row r="214">
      <c r="A214" s="15">
        <f>HYPERLINK("https://www.google.com/search?q=A11866977+Miami+MLS+listing", "A11866977")</f>
        <v/>
      </c>
      <c r="B214" s="16" t="inlineStr">
        <is>
          <t>502 SW 13th Ave</t>
        </is>
      </c>
      <c r="C214" s="16" t="inlineStr">
        <is>
          <t>33135</t>
        </is>
      </c>
      <c r="D214" s="16" t="inlineStr">
        <is>
          <t>Miami-Dade County</t>
        </is>
      </c>
      <c r="E214" s="16" t="inlineStr">
        <is>
          <t>Fourplex</t>
        </is>
      </c>
      <c r="F214" s="17" t="n">
        <v>4</v>
      </c>
      <c r="G214" s="18" t="n">
        <v>1475000</v>
      </c>
      <c r="H214" s="18" t="n">
        <v>6900</v>
      </c>
      <c r="I214" s="19">
        <f>H214/G214</f>
        <v/>
      </c>
      <c r="J214" s="18">
        <f>H214*(1-Assumptions!$B$4)</f>
        <v/>
      </c>
      <c r="K214" s="20">
        <f>PMT(Assumptions!$B$2/12, 360, -G214*(1-Assumptions!$B$3))</f>
        <v/>
      </c>
      <c r="L214" s="20">
        <f>J214+K214</f>
        <v/>
      </c>
      <c r="M214" s="21">
        <f>IF(I214&gt;=0.01,50,IF(I214&gt;=0.0095,37,IF(I214&gt;=0.009,25,12)))</f>
        <v/>
      </c>
      <c r="N214" s="21">
        <f>IF(L214&gt;=2000,30,IF(L214&gt;=1000,20,IF(L214&gt;=500,10,5)))</f>
        <v/>
      </c>
      <c r="O214" s="21" t="n">
        <v>20</v>
      </c>
      <c r="P214" s="22">
        <f>M214+N214+O214</f>
        <v/>
      </c>
      <c r="Q214" s="16" t="inlineStr">
        <is>
          <t>A11866977</t>
        </is>
      </c>
      <c r="R214" s="16" t="inlineStr"/>
      <c r="S214" s="16" t="inlineStr"/>
    </row>
    <row r="215">
      <c r="A215" s="15">
        <f>HYPERLINK("https://www.google.com/search?q=A11927023+Miami+MLS+listing", "A11927023")</f>
        <v/>
      </c>
      <c r="B215" s="16" t="inlineStr">
        <is>
          <t>1872 SW 9th St</t>
        </is>
      </c>
      <c r="C215" s="16" t="inlineStr">
        <is>
          <t>33135</t>
        </is>
      </c>
      <c r="D215" s="16" t="inlineStr">
        <is>
          <t>Miami-Dade County</t>
        </is>
      </c>
      <c r="E215" s="16" t="inlineStr">
        <is>
          <t>Duplex</t>
        </is>
      </c>
      <c r="F215" s="17" t="n">
        <v>2</v>
      </c>
      <c r="G215" s="18" t="n">
        <v>1200000</v>
      </c>
      <c r="H215" s="18" t="n">
        <v>6900</v>
      </c>
      <c r="I215" s="19">
        <f>H215/G215</f>
        <v/>
      </c>
      <c r="J215" s="18">
        <f>H215*(1-Assumptions!$B$4)</f>
        <v/>
      </c>
      <c r="K215" s="20">
        <f>PMT(Assumptions!$B$2/12, 360, -G215*(1-Assumptions!$B$3))</f>
        <v/>
      </c>
      <c r="L215" s="20">
        <f>J215+K215</f>
        <v/>
      </c>
      <c r="M215" s="21">
        <f>IF(I215&gt;=0.01,50,IF(I215&gt;=0.0095,37,IF(I215&gt;=0.009,25,12)))</f>
        <v/>
      </c>
      <c r="N215" s="21">
        <f>IF(L215&gt;=2000,30,IF(L215&gt;=1000,20,IF(L215&gt;=500,10,5)))</f>
        <v/>
      </c>
      <c r="O215" s="21" t="n">
        <v>20</v>
      </c>
      <c r="P215" s="22">
        <f>M215+N215+O215</f>
        <v/>
      </c>
      <c r="Q215" s="16" t="inlineStr">
        <is>
          <t>A11927023</t>
        </is>
      </c>
      <c r="R215" s="16" t="inlineStr"/>
      <c r="S215" s="16" t="inlineStr"/>
    </row>
    <row r="216">
      <c r="A216" s="15">
        <f>HYPERLINK("https://www.google.com/search?q=A11923141+Miami+MLS+listing", "A11923141")</f>
        <v/>
      </c>
      <c r="B216" s="16" t="inlineStr">
        <is>
          <t>1045 SW 25th Ave</t>
        </is>
      </c>
      <c r="C216" s="16" t="inlineStr">
        <is>
          <t>33135</t>
        </is>
      </c>
      <c r="D216" s="16" t="inlineStr">
        <is>
          <t>Miami-Dade County</t>
        </is>
      </c>
      <c r="E216" s="16" t="inlineStr">
        <is>
          <t>Duplex</t>
        </is>
      </c>
      <c r="F216" s="17" t="n">
        <v>2</v>
      </c>
      <c r="G216" s="18" t="n">
        <v>1375000</v>
      </c>
      <c r="H216" s="18" t="n">
        <v>6800</v>
      </c>
      <c r="I216" s="19">
        <f>H216/G216</f>
        <v/>
      </c>
      <c r="J216" s="18">
        <f>H216*(1-Assumptions!$B$4)</f>
        <v/>
      </c>
      <c r="K216" s="20">
        <f>PMT(Assumptions!$B$2/12, 360, -G216*(1-Assumptions!$B$3))</f>
        <v/>
      </c>
      <c r="L216" s="20">
        <f>J216+K216</f>
        <v/>
      </c>
      <c r="M216" s="21">
        <f>IF(I216&gt;=0.01,50,IF(I216&gt;=0.0095,37,IF(I216&gt;=0.009,25,12)))</f>
        <v/>
      </c>
      <c r="N216" s="21">
        <f>IF(L216&gt;=2000,30,IF(L216&gt;=1000,20,IF(L216&gt;=500,10,5)))</f>
        <v/>
      </c>
      <c r="O216" s="21" t="n">
        <v>20</v>
      </c>
      <c r="P216" s="22">
        <f>M216+N216+O216</f>
        <v/>
      </c>
      <c r="Q216" s="16" t="inlineStr">
        <is>
          <t>A11923141</t>
        </is>
      </c>
      <c r="R216" s="16" t="inlineStr"/>
      <c r="S216" s="16" t="inlineStr"/>
    </row>
    <row r="217">
      <c r="A217" s="15">
        <f>HYPERLINK("https://www.google.com/search?q=A11767651+Miami+MLS+listing", "A11767651")</f>
        <v/>
      </c>
      <c r="B217" s="16" t="inlineStr">
        <is>
          <t>247 NW 54th St</t>
        </is>
      </c>
      <c r="C217" s="16" t="inlineStr">
        <is>
          <t>33127</t>
        </is>
      </c>
      <c r="D217" s="16" t="inlineStr">
        <is>
          <t>Miami-Dade County</t>
        </is>
      </c>
      <c r="E217" s="16" t="inlineStr">
        <is>
          <t>Duplex</t>
        </is>
      </c>
      <c r="F217" s="17" t="n">
        <v>2</v>
      </c>
      <c r="G217" s="18" t="n">
        <v>1350000</v>
      </c>
      <c r="H217" s="18" t="n">
        <v>7050</v>
      </c>
      <c r="I217" s="19">
        <f>H217/G217</f>
        <v/>
      </c>
      <c r="J217" s="18">
        <f>H217*(1-Assumptions!$B$4)</f>
        <v/>
      </c>
      <c r="K217" s="20">
        <f>PMT(Assumptions!$B$2/12, 360, -G217*(1-Assumptions!$B$3))</f>
        <v/>
      </c>
      <c r="L217" s="20">
        <f>J217+K217</f>
        <v/>
      </c>
      <c r="M217" s="21">
        <f>IF(I217&gt;=0.01,50,IF(I217&gt;=0.0095,37,IF(I217&gt;=0.009,25,12)))</f>
        <v/>
      </c>
      <c r="N217" s="21">
        <f>IF(L217&gt;=2000,30,IF(L217&gt;=1000,20,IF(L217&gt;=500,10,5)))</f>
        <v/>
      </c>
      <c r="O217" s="21" t="n">
        <v>20</v>
      </c>
      <c r="P217" s="22">
        <f>M217+N217+O217</f>
        <v/>
      </c>
      <c r="Q217" s="16" t="inlineStr">
        <is>
          <t>A11767651</t>
        </is>
      </c>
      <c r="R217" s="16" t="inlineStr"/>
      <c r="S217" s="16" t="inlineStr"/>
    </row>
    <row r="218">
      <c r="A218" s="15">
        <f>HYPERLINK("https://www.google.com/search?q=A11921469+Miami+MLS+listing", "A11921469")</f>
        <v/>
      </c>
      <c r="B218" s="16" t="inlineStr">
        <is>
          <t>1500 NW 69th Ter</t>
        </is>
      </c>
      <c r="C218" s="16" t="inlineStr">
        <is>
          <t>33147</t>
        </is>
      </c>
      <c r="D218" s="16" t="inlineStr">
        <is>
          <t>Miami-Dade County</t>
        </is>
      </c>
      <c r="E218" s="16" t="inlineStr">
        <is>
          <t>Fourplex</t>
        </is>
      </c>
      <c r="F218" s="17" t="n">
        <v>4</v>
      </c>
      <c r="G218" s="18" t="n">
        <v>900000</v>
      </c>
      <c r="H218" s="18" t="n">
        <v>7000</v>
      </c>
      <c r="I218" s="19">
        <f>H218/G218</f>
        <v/>
      </c>
      <c r="J218" s="18">
        <f>H218*(1-Assumptions!$B$4)</f>
        <v/>
      </c>
      <c r="K218" s="20">
        <f>PMT(Assumptions!$B$2/12, 360, -G218*(1-Assumptions!$B$3))</f>
        <v/>
      </c>
      <c r="L218" s="20">
        <f>J218+K218</f>
        <v/>
      </c>
      <c r="M218" s="21">
        <f>IF(I218&gt;=0.01,50,IF(I218&gt;=0.0095,37,IF(I218&gt;=0.009,25,12)))</f>
        <v/>
      </c>
      <c r="N218" s="21">
        <f>IF(L218&gt;=2000,30,IF(L218&gt;=1000,20,IF(L218&gt;=500,10,5)))</f>
        <v/>
      </c>
      <c r="O218" s="21" t="n">
        <v>20</v>
      </c>
      <c r="P218" s="22">
        <f>M218+N218+O218</f>
        <v/>
      </c>
      <c r="Q218" s="16" t="inlineStr">
        <is>
          <t>A11921469</t>
        </is>
      </c>
      <c r="R218" s="16" t="inlineStr"/>
      <c r="S218" s="16" t="inlineStr"/>
    </row>
    <row r="219">
      <c r="A219" s="15">
        <f>HYPERLINK("https://www.google.com/search?q=A11889809+Miami+MLS+listing", "A11889809")</f>
        <v/>
      </c>
      <c r="B219" s="16" t="inlineStr">
        <is>
          <t>421 SW 9th Ave</t>
        </is>
      </c>
      <c r="C219" s="16" t="inlineStr">
        <is>
          <t>33130</t>
        </is>
      </c>
      <c r="D219" s="16" t="inlineStr">
        <is>
          <t>Miami-Dade County</t>
        </is>
      </c>
      <c r="E219" s="16" t="inlineStr">
        <is>
          <t>Fourplex</t>
        </is>
      </c>
      <c r="F219" s="17" t="n">
        <v>4</v>
      </c>
      <c r="G219" s="18" t="n">
        <v>1500000</v>
      </c>
      <c r="H219" s="18" t="n">
        <v>7000</v>
      </c>
      <c r="I219" s="19">
        <f>H219/G219</f>
        <v/>
      </c>
      <c r="J219" s="18">
        <f>H219*(1-Assumptions!$B$4)</f>
        <v/>
      </c>
      <c r="K219" s="20">
        <f>PMT(Assumptions!$B$2/12, 360, -G219*(1-Assumptions!$B$3))</f>
        <v/>
      </c>
      <c r="L219" s="20">
        <f>J219+K219</f>
        <v/>
      </c>
      <c r="M219" s="21">
        <f>IF(I219&gt;=0.01,50,IF(I219&gt;=0.0095,37,IF(I219&gt;=0.009,25,12)))</f>
        <v/>
      </c>
      <c r="N219" s="21">
        <f>IF(L219&gt;=2000,30,IF(L219&gt;=1000,20,IF(L219&gt;=500,10,5)))</f>
        <v/>
      </c>
      <c r="O219" s="21" t="n">
        <v>20</v>
      </c>
      <c r="P219" s="22">
        <f>M219+N219+O219</f>
        <v/>
      </c>
      <c r="Q219" s="16" t="inlineStr">
        <is>
          <t>A11889809</t>
        </is>
      </c>
      <c r="R219" s="16" t="inlineStr"/>
      <c r="S219" s="16" t="inlineStr"/>
    </row>
    <row r="220">
      <c r="A220" s="15">
        <f>HYPERLINK("https://www.google.com/search?q=A11926236+Miami+MLS+listing", "A11926236")</f>
        <v/>
      </c>
      <c r="B220" s="16" t="inlineStr">
        <is>
          <t>2275 SW 15th St</t>
        </is>
      </c>
      <c r="C220" s="16" t="inlineStr">
        <is>
          <t>33145</t>
        </is>
      </c>
      <c r="D220" s="16" t="inlineStr">
        <is>
          <t>Miami-Dade County</t>
        </is>
      </c>
      <c r="E220" s="16" t="inlineStr">
        <is>
          <t>Triplex</t>
        </is>
      </c>
      <c r="F220" s="17" t="n">
        <v>3</v>
      </c>
      <c r="G220" s="18" t="n">
        <v>1200000</v>
      </c>
      <c r="H220" s="18" t="n">
        <v>6920</v>
      </c>
      <c r="I220" s="19">
        <f>H220/G220</f>
        <v/>
      </c>
      <c r="J220" s="18">
        <f>H220*(1-Assumptions!$B$4)</f>
        <v/>
      </c>
      <c r="K220" s="20">
        <f>PMT(Assumptions!$B$2/12, 360, -G220*(1-Assumptions!$B$3))</f>
        <v/>
      </c>
      <c r="L220" s="20">
        <f>J220+K220</f>
        <v/>
      </c>
      <c r="M220" s="21">
        <f>IF(I220&gt;=0.01,50,IF(I220&gt;=0.0095,37,IF(I220&gt;=0.009,25,12)))</f>
        <v/>
      </c>
      <c r="N220" s="21">
        <f>IF(L220&gt;=2000,30,IF(L220&gt;=1000,20,IF(L220&gt;=500,10,5)))</f>
        <v/>
      </c>
      <c r="O220" s="21" t="n">
        <v>20</v>
      </c>
      <c r="P220" s="22">
        <f>M220+N220+O220</f>
        <v/>
      </c>
      <c r="Q220" s="16" t="inlineStr">
        <is>
          <t>A11926236</t>
        </is>
      </c>
      <c r="R220" s="16" t="inlineStr"/>
      <c r="S220" s="16" t="inlineStr"/>
    </row>
    <row r="221">
      <c r="A221" s="15">
        <f>HYPERLINK("https://www.google.com/search?q=A11873548+Miami+MLS+listing", "A11873548")</f>
        <v/>
      </c>
      <c r="B221" s="16" t="inlineStr">
        <is>
          <t>621 SW 33RD AVENUE</t>
        </is>
      </c>
      <c r="C221" s="16" t="inlineStr">
        <is>
          <t>33135</t>
        </is>
      </c>
      <c r="D221" s="16" t="inlineStr">
        <is>
          <t>Miami-Dade County</t>
        </is>
      </c>
      <c r="E221" s="16" t="inlineStr">
        <is>
          <t>Duplex</t>
        </is>
      </c>
      <c r="F221" s="17" t="n">
        <v>2</v>
      </c>
      <c r="G221" s="18" t="n">
        <v>1100000</v>
      </c>
      <c r="H221" s="18" t="n">
        <v>7000</v>
      </c>
      <c r="I221" s="19">
        <f>H221/G221</f>
        <v/>
      </c>
      <c r="J221" s="18">
        <f>H221*(1-Assumptions!$B$4)</f>
        <v/>
      </c>
      <c r="K221" s="20">
        <f>PMT(Assumptions!$B$2/12, 360, -G221*(1-Assumptions!$B$3))</f>
        <v/>
      </c>
      <c r="L221" s="20">
        <f>J221+K221</f>
        <v/>
      </c>
      <c r="M221" s="21">
        <f>IF(I221&gt;=0.01,50,IF(I221&gt;=0.0095,37,IF(I221&gt;=0.009,25,12)))</f>
        <v/>
      </c>
      <c r="N221" s="21">
        <f>IF(L221&gt;=2000,30,IF(L221&gt;=1000,20,IF(L221&gt;=500,10,5)))</f>
        <v/>
      </c>
      <c r="O221" s="21" t="n">
        <v>20</v>
      </c>
      <c r="P221" s="22">
        <f>M221+N221+O221</f>
        <v/>
      </c>
      <c r="Q221" s="16" t="inlineStr">
        <is>
          <t>A11873548</t>
        </is>
      </c>
      <c r="R221" s="16" t="inlineStr"/>
      <c r="S221" s="16" t="inlineStr"/>
    </row>
    <row r="222">
      <c r="A222" s="15">
        <f>HYPERLINK("https://www.google.com/search?q=A11951105+Miami+MLS+listing", "A11951105")</f>
        <v/>
      </c>
      <c r="B222" s="16" t="inlineStr">
        <is>
          <t>1293 SW 22nd Avenue</t>
        </is>
      </c>
      <c r="C222" s="16" t="inlineStr">
        <is>
          <t>33135</t>
        </is>
      </c>
      <c r="D222" s="16" t="inlineStr">
        <is>
          <t>Miami-Dade County</t>
        </is>
      </c>
      <c r="E222" s="16" t="inlineStr">
        <is>
          <t>Duplex</t>
        </is>
      </c>
      <c r="F222" s="17" t="n">
        <v>2</v>
      </c>
      <c r="G222" s="18" t="n">
        <v>1150000</v>
      </c>
      <c r="H222" s="18" t="n">
        <v>6950</v>
      </c>
      <c r="I222" s="19">
        <f>H222/G222</f>
        <v/>
      </c>
      <c r="J222" s="18">
        <f>H222*(1-Assumptions!$B$4)</f>
        <v/>
      </c>
      <c r="K222" s="20">
        <f>PMT(Assumptions!$B$2/12, 360, -G222*(1-Assumptions!$B$3))</f>
        <v/>
      </c>
      <c r="L222" s="20">
        <f>J222+K222</f>
        <v/>
      </c>
      <c r="M222" s="21">
        <f>IF(I222&gt;=0.01,50,IF(I222&gt;=0.0095,37,IF(I222&gt;=0.009,25,12)))</f>
        <v/>
      </c>
      <c r="N222" s="21">
        <f>IF(L222&gt;=2000,30,IF(L222&gt;=1000,20,IF(L222&gt;=500,10,5)))</f>
        <v/>
      </c>
      <c r="O222" s="21" t="n">
        <v>20</v>
      </c>
      <c r="P222" s="22">
        <f>M222+N222+O222</f>
        <v/>
      </c>
      <c r="Q222" s="16" t="inlineStr">
        <is>
          <t>A11951105</t>
        </is>
      </c>
      <c r="R222" s="16" t="inlineStr"/>
      <c r="S222" s="16" t="inlineStr"/>
    </row>
    <row r="223">
      <c r="A223" s="15">
        <f>HYPERLINK("https://www.google.com/search?q=A11917146+Miami+MLS+listing", "A11917146")</f>
        <v/>
      </c>
      <c r="B223" s="16" t="inlineStr">
        <is>
          <t>2275 NW 30th St</t>
        </is>
      </c>
      <c r="C223" s="16" t="inlineStr">
        <is>
          <t>33142</t>
        </is>
      </c>
      <c r="D223" s="16" t="inlineStr">
        <is>
          <t>Miami-Dade County</t>
        </is>
      </c>
      <c r="E223" s="16" t="inlineStr">
        <is>
          <t>Duplex</t>
        </is>
      </c>
      <c r="F223" s="17" t="n">
        <v>2</v>
      </c>
      <c r="G223" s="18" t="n">
        <v>799999</v>
      </c>
      <c r="H223" s="18" t="n">
        <v>6975</v>
      </c>
      <c r="I223" s="19">
        <f>H223/G223</f>
        <v/>
      </c>
      <c r="J223" s="18">
        <f>H223*(1-Assumptions!$B$4)</f>
        <v/>
      </c>
      <c r="K223" s="20">
        <f>PMT(Assumptions!$B$2/12, 360, -G223*(1-Assumptions!$B$3))</f>
        <v/>
      </c>
      <c r="L223" s="20">
        <f>J223+K223</f>
        <v/>
      </c>
      <c r="M223" s="21">
        <f>IF(I223&gt;=0.01,50,IF(I223&gt;=0.0095,37,IF(I223&gt;=0.009,25,12)))</f>
        <v/>
      </c>
      <c r="N223" s="21">
        <f>IF(L223&gt;=2000,30,IF(L223&gt;=1000,20,IF(L223&gt;=500,10,5)))</f>
        <v/>
      </c>
      <c r="O223" s="21" t="n">
        <v>20</v>
      </c>
      <c r="P223" s="22">
        <f>M223+N223+O223</f>
        <v/>
      </c>
      <c r="Q223" s="16" t="inlineStr">
        <is>
          <t>A11917146</t>
        </is>
      </c>
      <c r="R223" s="16" t="inlineStr"/>
      <c r="S223" s="16" t="inlineStr"/>
    </row>
    <row r="224">
      <c r="A224" s="15">
        <f>HYPERLINK("https://www.google.com/search?q=A11967831+Miami+MLS+listing", "A11967831")</f>
        <v/>
      </c>
      <c r="B224" s="16" t="inlineStr">
        <is>
          <t>911 NW 22nd Pl</t>
        </is>
      </c>
      <c r="C224" s="16" t="inlineStr">
        <is>
          <t>33125</t>
        </is>
      </c>
      <c r="D224" s="16" t="inlineStr">
        <is>
          <t>Miami-Dade County</t>
        </is>
      </c>
      <c r="E224" s="16" t="inlineStr">
        <is>
          <t>Duplex</t>
        </is>
      </c>
      <c r="F224" s="17" t="n">
        <v>2</v>
      </c>
      <c r="G224" s="18" t="n">
        <v>975000</v>
      </c>
      <c r="H224" s="18" t="n">
        <v>6800</v>
      </c>
      <c r="I224" s="19">
        <f>H224/G224</f>
        <v/>
      </c>
      <c r="J224" s="18">
        <f>H224*(1-Assumptions!$B$4)</f>
        <v/>
      </c>
      <c r="K224" s="20">
        <f>PMT(Assumptions!$B$2/12, 360, -G224*(1-Assumptions!$B$3))</f>
        <v/>
      </c>
      <c r="L224" s="20">
        <f>J224+K224</f>
        <v/>
      </c>
      <c r="M224" s="21">
        <f>IF(I224&gt;=0.01,50,IF(I224&gt;=0.0095,37,IF(I224&gt;=0.009,25,12)))</f>
        <v/>
      </c>
      <c r="N224" s="21">
        <f>IF(L224&gt;=2000,30,IF(L224&gt;=1000,20,IF(L224&gt;=500,10,5)))</f>
        <v/>
      </c>
      <c r="O224" s="21" t="n">
        <v>20</v>
      </c>
      <c r="P224" s="22">
        <f>M224+N224+O224</f>
        <v/>
      </c>
      <c r="Q224" s="16" t="inlineStr">
        <is>
          <t>A11967831</t>
        </is>
      </c>
      <c r="R224" s="16" t="inlineStr"/>
      <c r="S224" s="16" t="inlineStr"/>
    </row>
    <row r="225">
      <c r="A225" s="15">
        <f>HYPERLINK("https://www.google.com/search?q=A11924623+Miami+MLS+listing", "A11924623")</f>
        <v/>
      </c>
      <c r="B225" s="16" t="inlineStr">
        <is>
          <t>1800 NW 18th Ter</t>
        </is>
      </c>
      <c r="C225" s="16" t="inlineStr">
        <is>
          <t>33125</t>
        </is>
      </c>
      <c r="D225" s="16" t="inlineStr">
        <is>
          <t>Miami-Dade County</t>
        </is>
      </c>
      <c r="E225" s="16" t="inlineStr">
        <is>
          <t>Duplex</t>
        </is>
      </c>
      <c r="F225" s="17" t="n">
        <v>2</v>
      </c>
      <c r="G225" s="18" t="n">
        <v>840000</v>
      </c>
      <c r="H225" s="18" t="n">
        <v>7000</v>
      </c>
      <c r="I225" s="19">
        <f>H225/G225</f>
        <v/>
      </c>
      <c r="J225" s="18">
        <f>H225*(1-Assumptions!$B$4)</f>
        <v/>
      </c>
      <c r="K225" s="20">
        <f>PMT(Assumptions!$B$2/12, 360, -G225*(1-Assumptions!$B$3))</f>
        <v/>
      </c>
      <c r="L225" s="20">
        <f>J225+K225</f>
        <v/>
      </c>
      <c r="M225" s="21">
        <f>IF(I225&gt;=0.01,50,IF(I225&gt;=0.0095,37,IF(I225&gt;=0.009,25,12)))</f>
        <v/>
      </c>
      <c r="N225" s="21">
        <f>IF(L225&gt;=2000,30,IF(L225&gt;=1000,20,IF(L225&gt;=500,10,5)))</f>
        <v/>
      </c>
      <c r="O225" s="21" t="n">
        <v>20</v>
      </c>
      <c r="P225" s="22">
        <f>M225+N225+O225</f>
        <v/>
      </c>
      <c r="Q225" s="16" t="inlineStr">
        <is>
          <t>A11924623</t>
        </is>
      </c>
      <c r="R225" s="16" t="inlineStr"/>
      <c r="S225" s="16" t="inlineStr"/>
    </row>
    <row r="226">
      <c r="A226" s="15">
        <f>HYPERLINK("https://www.google.com/search?q=A11927594+Miami+MLS+listing", "A11927594")</f>
        <v/>
      </c>
      <c r="B226" s="16" t="inlineStr">
        <is>
          <t>3932 SW 12th Pl</t>
        </is>
      </c>
      <c r="C226" s="16" t="inlineStr">
        <is>
          <t>33312</t>
        </is>
      </c>
      <c r="D226" s="16" t="inlineStr">
        <is>
          <t>Broward County</t>
        </is>
      </c>
      <c r="E226" s="16" t="inlineStr">
        <is>
          <t>Fourplex</t>
        </is>
      </c>
      <c r="F226" s="17" t="n">
        <v>4</v>
      </c>
      <c r="G226" s="18" t="n">
        <v>1545000</v>
      </c>
      <c r="H226" s="18" t="n">
        <v>13600</v>
      </c>
      <c r="I226" s="19">
        <f>H226/G226</f>
        <v/>
      </c>
      <c r="J226" s="18">
        <f>H226*(1-Assumptions!$B$4)</f>
        <v/>
      </c>
      <c r="K226" s="20">
        <f>PMT(Assumptions!$B$2/12, 360, -G226*(1-Assumptions!$B$3))</f>
        <v/>
      </c>
      <c r="L226" s="20">
        <f>J226+K226</f>
        <v/>
      </c>
      <c r="M226" s="21">
        <f>IF(I226&gt;=0.01,50,IF(I226&gt;=0.0095,37,IF(I226&gt;=0.009,25,12)))</f>
        <v/>
      </c>
      <c r="N226" s="21">
        <f>IF(L226&gt;=2000,30,IF(L226&gt;=1000,20,IF(L226&gt;=500,10,5)))</f>
        <v/>
      </c>
      <c r="O226" s="21" t="n">
        <v>13</v>
      </c>
      <c r="P226" s="22">
        <f>M226+N226+O226</f>
        <v/>
      </c>
      <c r="Q226" s="16" t="inlineStr">
        <is>
          <t>A11927594</t>
        </is>
      </c>
      <c r="R226" s="16" t="inlineStr"/>
      <c r="S226" s="16" t="inlineStr"/>
    </row>
    <row r="227">
      <c r="A227" s="15">
        <f>HYPERLINK("https://www.google.com/search?q=A11894098+Miami+MLS+listing", "A11894098")</f>
        <v/>
      </c>
      <c r="B227" s="16" t="inlineStr">
        <is>
          <t>155 W 26th St</t>
        </is>
      </c>
      <c r="C227" s="16" t="inlineStr">
        <is>
          <t>33010</t>
        </is>
      </c>
      <c r="D227" s="16" t="inlineStr">
        <is>
          <t>Miami-Dade County</t>
        </is>
      </c>
      <c r="E227" s="16" t="inlineStr">
        <is>
          <t>Duplex</t>
        </is>
      </c>
      <c r="F227" s="17" t="n">
        <v>2</v>
      </c>
      <c r="G227" s="18" t="n">
        <v>610000</v>
      </c>
      <c r="H227" s="18" t="n">
        <v>4500</v>
      </c>
      <c r="I227" s="19">
        <f>H227/G227</f>
        <v/>
      </c>
      <c r="J227" s="18">
        <f>H227*(1-Assumptions!$B$4)</f>
        <v/>
      </c>
      <c r="K227" s="20">
        <f>PMT(Assumptions!$B$2/12, 360, -G227*(1-Assumptions!$B$3))</f>
        <v/>
      </c>
      <c r="L227" s="20">
        <f>J227+K227</f>
        <v/>
      </c>
      <c r="M227" s="21">
        <f>IF(I227&gt;=0.01,50,IF(I227&gt;=0.0095,37,IF(I227&gt;=0.009,25,12)))</f>
        <v/>
      </c>
      <c r="N227" s="21">
        <f>IF(L227&gt;=2000,30,IF(L227&gt;=1000,20,IF(L227&gt;=500,10,5)))</f>
        <v/>
      </c>
      <c r="O227" s="21" t="n">
        <v>16</v>
      </c>
      <c r="P227" s="22">
        <f>M227+N227+O227</f>
        <v/>
      </c>
      <c r="Q227" s="16" t="inlineStr">
        <is>
          <t>A11894098</t>
        </is>
      </c>
      <c r="R227" s="16" t="inlineStr"/>
      <c r="S227" s="16" t="inlineStr"/>
    </row>
    <row r="228">
      <c r="A228" s="15">
        <f>HYPERLINK("https://www.google.com/search?q=A11915289+Miami+MLS+listing", "A11915289")</f>
        <v/>
      </c>
      <c r="B228" s="16" t="inlineStr">
        <is>
          <t>3631 SW 27th St</t>
        </is>
      </c>
      <c r="C228" s="16" t="inlineStr">
        <is>
          <t>33133</t>
        </is>
      </c>
      <c r="D228" s="16" t="inlineStr">
        <is>
          <t>Miami-Dade County</t>
        </is>
      </c>
      <c r="E228" s="16" t="inlineStr">
        <is>
          <t>Duplex</t>
        </is>
      </c>
      <c r="F228" s="17" t="n">
        <v>2</v>
      </c>
      <c r="G228" s="18" t="n">
        <v>1300000</v>
      </c>
      <c r="H228" s="18" t="n">
        <v>4500</v>
      </c>
      <c r="I228" s="19">
        <f>H228/G228</f>
        <v/>
      </c>
      <c r="J228" s="18">
        <f>H228*(1-Assumptions!$B$4)</f>
        <v/>
      </c>
      <c r="K228" s="20">
        <f>PMT(Assumptions!$B$2/12, 360, -G228*(1-Assumptions!$B$3))</f>
        <v/>
      </c>
      <c r="L228" s="20">
        <f>J228+K228</f>
        <v/>
      </c>
      <c r="M228" s="21">
        <f>IF(I228&gt;=0.01,50,IF(I228&gt;=0.0095,37,IF(I228&gt;=0.009,25,12)))</f>
        <v/>
      </c>
      <c r="N228" s="21">
        <f>IF(L228&gt;=2000,30,IF(L228&gt;=1000,20,IF(L228&gt;=500,10,5)))</f>
        <v/>
      </c>
      <c r="O228" s="21" t="n">
        <v>16</v>
      </c>
      <c r="P228" s="22">
        <f>M228+N228+O228</f>
        <v/>
      </c>
      <c r="Q228" s="16" t="inlineStr">
        <is>
          <t>A11915289</t>
        </is>
      </c>
      <c r="R228" s="16" t="inlineStr"/>
      <c r="S228" s="16" t="inlineStr"/>
    </row>
    <row r="229">
      <c r="A229" s="15">
        <f>HYPERLINK("https://www.google.com/search?q=A11678627+Miami+MLS+listing", "A11678627")</f>
        <v/>
      </c>
      <c r="B229" s="16" t="inlineStr">
        <is>
          <t>620 W 29th St</t>
        </is>
      </c>
      <c r="C229" s="16" t="inlineStr">
        <is>
          <t>33012</t>
        </is>
      </c>
      <c r="D229" s="16" t="inlineStr">
        <is>
          <t>Miami-Dade County</t>
        </is>
      </c>
      <c r="E229" s="16" t="inlineStr">
        <is>
          <t>Fourplex</t>
        </is>
      </c>
      <c r="F229" s="17" t="n">
        <v>4</v>
      </c>
      <c r="G229" s="18" t="n">
        <v>1695000</v>
      </c>
      <c r="H229" s="18" t="n">
        <v>8100</v>
      </c>
      <c r="I229" s="19">
        <f>H229/G229</f>
        <v/>
      </c>
      <c r="J229" s="18">
        <f>H229*(1-Assumptions!$B$4)</f>
        <v/>
      </c>
      <c r="K229" s="20">
        <f>PMT(Assumptions!$B$2/12, 360, -G229*(1-Assumptions!$B$3))</f>
        <v/>
      </c>
      <c r="L229" s="20">
        <f>J229+K229</f>
        <v/>
      </c>
      <c r="M229" s="21">
        <f>IF(I229&gt;=0.01,50,IF(I229&gt;=0.0095,37,IF(I229&gt;=0.009,25,12)))</f>
        <v/>
      </c>
      <c r="N229" s="21">
        <f>IF(L229&gt;=2000,30,IF(L229&gt;=1000,20,IF(L229&gt;=500,10,5)))</f>
        <v/>
      </c>
      <c r="O229" s="21" t="n">
        <v>16</v>
      </c>
      <c r="P229" s="22">
        <f>M229+N229+O229</f>
        <v/>
      </c>
      <c r="Q229" s="16" t="inlineStr">
        <is>
          <t>A11678627</t>
        </is>
      </c>
      <c r="R229" s="16" t="inlineStr"/>
      <c r="S229" s="16" t="inlineStr"/>
    </row>
    <row r="230">
      <c r="A230" s="15">
        <f>HYPERLINK("https://www.google.com/search?q=A11914648+Miami+MLS+listing", "A11914648")</f>
        <v/>
      </c>
      <c r="B230" s="16" t="inlineStr">
        <is>
          <t>3520 SW 25th St</t>
        </is>
      </c>
      <c r="C230" s="16" t="inlineStr">
        <is>
          <t>33133</t>
        </is>
      </c>
      <c r="D230" s="16" t="inlineStr">
        <is>
          <t>Miami-Dade County</t>
        </is>
      </c>
      <c r="E230" s="16" t="inlineStr">
        <is>
          <t>Duplex</t>
        </is>
      </c>
      <c r="F230" s="17" t="n">
        <v>2</v>
      </c>
      <c r="G230" s="18" t="n">
        <v>1249000</v>
      </c>
      <c r="H230" s="18" t="n">
        <v>7000</v>
      </c>
      <c r="I230" s="19">
        <f>H230/G230</f>
        <v/>
      </c>
      <c r="J230" s="18">
        <f>H230*(1-Assumptions!$B$4)</f>
        <v/>
      </c>
      <c r="K230" s="20">
        <f>PMT(Assumptions!$B$2/12, 360, -G230*(1-Assumptions!$B$3))</f>
        <v/>
      </c>
      <c r="L230" s="20">
        <f>J230+K230</f>
        <v/>
      </c>
      <c r="M230" s="21">
        <f>IF(I230&gt;=0.01,50,IF(I230&gt;=0.0095,37,IF(I230&gt;=0.009,25,12)))</f>
        <v/>
      </c>
      <c r="N230" s="21">
        <f>IF(L230&gt;=2000,30,IF(L230&gt;=1000,20,IF(L230&gt;=500,10,5)))</f>
        <v/>
      </c>
      <c r="O230" s="21" t="n">
        <v>16</v>
      </c>
      <c r="P230" s="22">
        <f>M230+N230+O230</f>
        <v/>
      </c>
      <c r="Q230" s="16" t="inlineStr">
        <is>
          <t>A11914648</t>
        </is>
      </c>
      <c r="R230" s="16" t="inlineStr"/>
      <c r="S230" s="16" t="inlineStr"/>
    </row>
    <row r="231">
      <c r="A231" s="15">
        <f>HYPERLINK("https://www.google.com/search?q=A11928889+Miami+MLS+listing", "A11928889")</f>
        <v/>
      </c>
      <c r="B231" s="16" t="inlineStr">
        <is>
          <t>3711 SW 27th Ter</t>
        </is>
      </c>
      <c r="C231" s="16" t="inlineStr">
        <is>
          <t>33134</t>
        </is>
      </c>
      <c r="D231" s="16" t="inlineStr">
        <is>
          <t>Miami-Dade County</t>
        </is>
      </c>
      <c r="E231" s="16" t="inlineStr">
        <is>
          <t>Duplex</t>
        </is>
      </c>
      <c r="F231" s="17" t="n">
        <v>2</v>
      </c>
      <c r="G231" s="18" t="n">
        <v>1825000</v>
      </c>
      <c r="H231" s="18" t="n">
        <v>4500</v>
      </c>
      <c r="I231" s="19">
        <f>H231/G231</f>
        <v/>
      </c>
      <c r="J231" s="18">
        <f>H231*(1-Assumptions!$B$4)</f>
        <v/>
      </c>
      <c r="K231" s="20">
        <f>PMT(Assumptions!$B$2/12, 360, -G231*(1-Assumptions!$B$3))</f>
        <v/>
      </c>
      <c r="L231" s="20">
        <f>J231+K231</f>
        <v/>
      </c>
      <c r="M231" s="21">
        <f>IF(I231&gt;=0.01,50,IF(I231&gt;=0.0095,37,IF(I231&gt;=0.009,25,12)))</f>
        <v/>
      </c>
      <c r="N231" s="21">
        <f>IF(L231&gt;=2000,30,IF(L231&gt;=1000,20,IF(L231&gt;=500,10,5)))</f>
        <v/>
      </c>
      <c r="O231" s="21" t="n">
        <v>16</v>
      </c>
      <c r="P231" s="22">
        <f>M231+N231+O231</f>
        <v/>
      </c>
      <c r="Q231" s="16" t="inlineStr">
        <is>
          <t>A11928889</t>
        </is>
      </c>
      <c r="R231" s="16" t="inlineStr"/>
      <c r="S231" s="16" t="inlineStr"/>
    </row>
    <row r="232">
      <c r="A232" s="15">
        <f>HYPERLINK("https://www.google.com/search?q=A11951723+Miami+MLS+listing", "A11951723")</f>
        <v/>
      </c>
      <c r="B232" s="16" t="inlineStr">
        <is>
          <t>9601-9603 SW 36th St</t>
        </is>
      </c>
      <c r="C232" s="16" t="inlineStr">
        <is>
          <t>33165</t>
        </is>
      </c>
      <c r="D232" s="16" t="inlineStr">
        <is>
          <t>Miami-Dade County</t>
        </is>
      </c>
      <c r="E232" s="16" t="inlineStr">
        <is>
          <t>Duplex</t>
        </is>
      </c>
      <c r="F232" s="17" t="n">
        <v>2</v>
      </c>
      <c r="G232" s="18" t="n">
        <v>918000</v>
      </c>
      <c r="H232" s="18" t="n">
        <v>4500</v>
      </c>
      <c r="I232" s="19">
        <f>H232/G232</f>
        <v/>
      </c>
      <c r="J232" s="18">
        <f>H232*(1-Assumptions!$B$4)</f>
        <v/>
      </c>
      <c r="K232" s="20">
        <f>PMT(Assumptions!$B$2/12, 360, -G232*(1-Assumptions!$B$3))</f>
        <v/>
      </c>
      <c r="L232" s="20">
        <f>J232+K232</f>
        <v/>
      </c>
      <c r="M232" s="21">
        <f>IF(I232&gt;=0.01,50,IF(I232&gt;=0.0095,37,IF(I232&gt;=0.009,25,12)))</f>
        <v/>
      </c>
      <c r="N232" s="21">
        <f>IF(L232&gt;=2000,30,IF(L232&gt;=1000,20,IF(L232&gt;=500,10,5)))</f>
        <v/>
      </c>
      <c r="O232" s="21" t="n">
        <v>16</v>
      </c>
      <c r="P232" s="22">
        <f>M232+N232+O232</f>
        <v/>
      </c>
      <c r="Q232" s="16" t="inlineStr">
        <is>
          <t>A11951723</t>
        </is>
      </c>
      <c r="R232" s="16" t="inlineStr"/>
      <c r="S232" s="16" t="inlineStr"/>
    </row>
    <row r="233">
      <c r="A233" s="15">
        <f>HYPERLINK("https://www.google.com/search?q=A11814159+Miami+MLS+listing", "A11814159")</f>
        <v/>
      </c>
      <c r="B233" s="16" t="inlineStr">
        <is>
          <t>2221 SW 26th Lane</t>
        </is>
      </c>
      <c r="C233" s="16" t="inlineStr">
        <is>
          <t>33133</t>
        </is>
      </c>
      <c r="D233" s="16" t="inlineStr">
        <is>
          <t>Miami-Dade County</t>
        </is>
      </c>
      <c r="E233" s="16" t="inlineStr">
        <is>
          <t>Triplex</t>
        </is>
      </c>
      <c r="F233" s="17" t="n">
        <v>3</v>
      </c>
      <c r="G233" s="18" t="n">
        <v>1250000</v>
      </c>
      <c r="H233" s="18" t="n">
        <v>8400</v>
      </c>
      <c r="I233" s="19">
        <f>H233/G233</f>
        <v/>
      </c>
      <c r="J233" s="18">
        <f>H233*(1-Assumptions!$B$4)</f>
        <v/>
      </c>
      <c r="K233" s="20">
        <f>PMT(Assumptions!$B$2/12, 360, -G233*(1-Assumptions!$B$3))</f>
        <v/>
      </c>
      <c r="L233" s="20">
        <f>J233+K233</f>
        <v/>
      </c>
      <c r="M233" s="21">
        <f>IF(I233&gt;=0.01,50,IF(I233&gt;=0.0095,37,IF(I233&gt;=0.009,25,12)))</f>
        <v/>
      </c>
      <c r="N233" s="21">
        <f>IF(L233&gt;=2000,30,IF(L233&gt;=1000,20,IF(L233&gt;=500,10,5)))</f>
        <v/>
      </c>
      <c r="O233" s="21" t="n">
        <v>16</v>
      </c>
      <c r="P233" s="22">
        <f>M233+N233+O233</f>
        <v/>
      </c>
      <c r="Q233" s="16" t="inlineStr">
        <is>
          <t>A11814159</t>
        </is>
      </c>
      <c r="R233" s="16" t="inlineStr"/>
      <c r="S233" s="16" t="inlineStr"/>
    </row>
    <row r="234">
      <c r="A234" s="15">
        <f>HYPERLINK("https://www.google.com/search?q=A11790981+Miami+MLS+listing", "A11790981")</f>
        <v/>
      </c>
      <c r="B234" s="16" t="inlineStr">
        <is>
          <t>1650 NE 147th St</t>
        </is>
      </c>
      <c r="C234" s="16" t="inlineStr">
        <is>
          <t>33181</t>
        </is>
      </c>
      <c r="D234" s="16" t="inlineStr">
        <is>
          <t>Miami-Dade County</t>
        </is>
      </c>
      <c r="E234" s="16" t="inlineStr">
        <is>
          <t>Duplex</t>
        </is>
      </c>
      <c r="F234" s="17" t="n">
        <v>2</v>
      </c>
      <c r="G234" s="18" t="n">
        <v>971000</v>
      </c>
      <c r="H234" s="18" t="n">
        <v>2500</v>
      </c>
      <c r="I234" s="19">
        <f>H234/G234</f>
        <v/>
      </c>
      <c r="J234" s="18">
        <f>H234*(1-Assumptions!$B$4)</f>
        <v/>
      </c>
      <c r="K234" s="20">
        <f>PMT(Assumptions!$B$2/12, 360, -G234*(1-Assumptions!$B$3))</f>
        <v/>
      </c>
      <c r="L234" s="20">
        <f>J234+K234</f>
        <v/>
      </c>
      <c r="M234" s="21">
        <f>IF(I234&gt;=0.01,50,IF(I234&gt;=0.0095,37,IF(I234&gt;=0.009,25,12)))</f>
        <v/>
      </c>
      <c r="N234" s="21">
        <f>IF(L234&gt;=2000,30,IF(L234&gt;=1000,20,IF(L234&gt;=500,10,5)))</f>
        <v/>
      </c>
      <c r="O234" s="21" t="n">
        <v>16</v>
      </c>
      <c r="P234" s="22">
        <f>M234+N234+O234</f>
        <v/>
      </c>
      <c r="Q234" s="16" t="inlineStr">
        <is>
          <t>A11790981</t>
        </is>
      </c>
      <c r="R234" s="16" t="inlineStr"/>
      <c r="S234" s="16" t="inlineStr"/>
    </row>
    <row r="235">
      <c r="A235" s="15">
        <f>HYPERLINK("https://www.google.com/search?q=A11955365+Miami+MLS+listing", "A11955365")</f>
        <v/>
      </c>
      <c r="B235" s="16" t="inlineStr">
        <is>
          <t>12101 SW 215th St</t>
        </is>
      </c>
      <c r="C235" s="16" t="inlineStr">
        <is>
          <t>33177</t>
        </is>
      </c>
      <c r="D235" s="16" t="inlineStr">
        <is>
          <t>Miami-Dade County</t>
        </is>
      </c>
      <c r="E235" s="16" t="inlineStr">
        <is>
          <t>Duplex</t>
        </is>
      </c>
      <c r="F235" s="17" t="n">
        <v>2</v>
      </c>
      <c r="G235" s="18" t="n">
        <v>590000</v>
      </c>
      <c r="H235" s="18" t="n">
        <v>4600</v>
      </c>
      <c r="I235" s="19">
        <f>H235/G235</f>
        <v/>
      </c>
      <c r="J235" s="18">
        <f>H235*(1-Assumptions!$B$4)</f>
        <v/>
      </c>
      <c r="K235" s="20">
        <f>PMT(Assumptions!$B$2/12, 360, -G235*(1-Assumptions!$B$3))</f>
        <v/>
      </c>
      <c r="L235" s="20">
        <f>J235+K235</f>
        <v/>
      </c>
      <c r="M235" s="21">
        <f>IF(I235&gt;=0.01,50,IF(I235&gt;=0.0095,37,IF(I235&gt;=0.009,25,12)))</f>
        <v/>
      </c>
      <c r="N235" s="21">
        <f>IF(L235&gt;=2000,30,IF(L235&gt;=1000,20,IF(L235&gt;=500,10,5)))</f>
        <v/>
      </c>
      <c r="O235" s="21" t="n">
        <v>16</v>
      </c>
      <c r="P235" s="22">
        <f>M235+N235+O235</f>
        <v/>
      </c>
      <c r="Q235" s="16" t="inlineStr">
        <is>
          <t>A11955365</t>
        </is>
      </c>
      <c r="R235" s="16" t="inlineStr"/>
      <c r="S235" s="16" t="inlineStr"/>
    </row>
    <row r="236">
      <c r="A236" s="15">
        <f>HYPERLINK("https://www.google.com/search?q=A11951611+Miami+MLS+listing", "A11951611")</f>
        <v/>
      </c>
      <c r="B236" s="16" t="inlineStr">
        <is>
          <t>4485 SW 7th St</t>
        </is>
      </c>
      <c r="C236" s="16" t="inlineStr">
        <is>
          <t>33134</t>
        </is>
      </c>
      <c r="D236" s="16" t="inlineStr">
        <is>
          <t>Miami-Dade County</t>
        </is>
      </c>
      <c r="E236" s="16" t="inlineStr">
        <is>
          <t>Duplex</t>
        </is>
      </c>
      <c r="F236" s="17" t="n">
        <v>2</v>
      </c>
      <c r="G236" s="18" t="n">
        <v>949900</v>
      </c>
      <c r="H236" s="18" t="n">
        <v>4450</v>
      </c>
      <c r="I236" s="19">
        <f>H236/G236</f>
        <v/>
      </c>
      <c r="J236" s="18">
        <f>H236*(1-Assumptions!$B$4)</f>
        <v/>
      </c>
      <c r="K236" s="20">
        <f>PMT(Assumptions!$B$2/12, 360, -G236*(1-Assumptions!$B$3))</f>
        <v/>
      </c>
      <c r="L236" s="20">
        <f>J236+K236</f>
        <v/>
      </c>
      <c r="M236" s="21">
        <f>IF(I236&gt;=0.01,50,IF(I236&gt;=0.0095,37,IF(I236&gt;=0.009,25,12)))</f>
        <v/>
      </c>
      <c r="N236" s="21">
        <f>IF(L236&gt;=2000,30,IF(L236&gt;=1000,20,IF(L236&gt;=500,10,5)))</f>
        <v/>
      </c>
      <c r="O236" s="21" t="n">
        <v>16</v>
      </c>
      <c r="P236" s="22">
        <f>M236+N236+O236</f>
        <v/>
      </c>
      <c r="Q236" s="16" t="inlineStr">
        <is>
          <t>A11951611</t>
        </is>
      </c>
      <c r="R236" s="16" t="inlineStr"/>
      <c r="S236" s="16" t="inlineStr"/>
    </row>
    <row r="237">
      <c r="A237" s="15">
        <f>HYPERLINK("https://www.google.com/search?q=A11954873+Miami+MLS+listing", "A11954873")</f>
        <v/>
      </c>
      <c r="B237" s="16" t="inlineStr">
        <is>
          <t>2470-2472 NE 182nd Ter</t>
        </is>
      </c>
      <c r="C237" s="16" t="inlineStr">
        <is>
          <t>33160</t>
        </is>
      </c>
      <c r="D237" s="16" t="inlineStr">
        <is>
          <t>Miami-Dade County</t>
        </is>
      </c>
      <c r="E237" s="16" t="inlineStr">
        <is>
          <t>Duplex</t>
        </is>
      </c>
      <c r="F237" s="17" t="n">
        <v>2</v>
      </c>
      <c r="G237" s="18" t="n">
        <v>740000</v>
      </c>
      <c r="H237" s="18" t="n">
        <v>4700</v>
      </c>
      <c r="I237" s="19">
        <f>H237/G237</f>
        <v/>
      </c>
      <c r="J237" s="18">
        <f>H237*(1-Assumptions!$B$4)</f>
        <v/>
      </c>
      <c r="K237" s="20">
        <f>PMT(Assumptions!$B$2/12, 360, -G237*(1-Assumptions!$B$3))</f>
        <v/>
      </c>
      <c r="L237" s="20">
        <f>J237+K237</f>
        <v/>
      </c>
      <c r="M237" s="21">
        <f>IF(I237&gt;=0.01,50,IF(I237&gt;=0.0095,37,IF(I237&gt;=0.009,25,12)))</f>
        <v/>
      </c>
      <c r="N237" s="21">
        <f>IF(L237&gt;=2000,30,IF(L237&gt;=1000,20,IF(L237&gt;=500,10,5)))</f>
        <v/>
      </c>
      <c r="O237" s="21" t="n">
        <v>16</v>
      </c>
      <c r="P237" s="22">
        <f>M237+N237+O237</f>
        <v/>
      </c>
      <c r="Q237" s="16" t="inlineStr">
        <is>
          <t>A11954873</t>
        </is>
      </c>
      <c r="R237" s="16" t="inlineStr"/>
      <c r="S237" s="16" t="inlineStr"/>
    </row>
    <row r="238">
      <c r="A238" s="15">
        <f>HYPERLINK("https://www.google.com/search?q=A11857777+Miami+MLS+listing", "A11857777")</f>
        <v/>
      </c>
      <c r="B238" s="16" t="inlineStr">
        <is>
          <t>36 Phoenetia Ave</t>
        </is>
      </c>
      <c r="C238" s="16" t="inlineStr">
        <is>
          <t>33134</t>
        </is>
      </c>
      <c r="D238" s="16" t="inlineStr">
        <is>
          <t>Miami-Dade County</t>
        </is>
      </c>
      <c r="E238" s="16" t="inlineStr">
        <is>
          <t>Income/MultiFamily</t>
        </is>
      </c>
      <c r="F238" s="17" t="n">
        <v>2</v>
      </c>
      <c r="G238" s="18" t="n">
        <v>2650000</v>
      </c>
      <c r="H238" s="18" t="n">
        <v>12000</v>
      </c>
      <c r="I238" s="19">
        <f>H238/G238</f>
        <v/>
      </c>
      <c r="J238" s="18">
        <f>H238*(1-Assumptions!$B$4)</f>
        <v/>
      </c>
      <c r="K238" s="20">
        <f>PMT(Assumptions!$B$2/12, 360, -G238*(1-Assumptions!$B$3))</f>
        <v/>
      </c>
      <c r="L238" s="20">
        <f>J238+K238</f>
        <v/>
      </c>
      <c r="M238" s="21">
        <f>IF(I238&gt;=0.01,50,IF(I238&gt;=0.0095,37,IF(I238&gt;=0.009,25,12)))</f>
        <v/>
      </c>
      <c r="N238" s="21">
        <f>IF(L238&gt;=2000,30,IF(L238&gt;=1000,20,IF(L238&gt;=500,10,5)))</f>
        <v/>
      </c>
      <c r="O238" s="21" t="n">
        <v>16</v>
      </c>
      <c r="P238" s="22">
        <f>M238+N238+O238</f>
        <v/>
      </c>
      <c r="Q238" s="16" t="inlineStr">
        <is>
          <t>A11857777</t>
        </is>
      </c>
      <c r="R238" s="16" t="inlineStr"/>
      <c r="S238" s="16" t="inlineStr"/>
    </row>
    <row r="239">
      <c r="A239" s="15">
        <f>HYPERLINK("https://www.google.com/search?q=A11953857+Miami+MLS+listing", "A11953857")</f>
        <v/>
      </c>
      <c r="B239" s="16" t="inlineStr">
        <is>
          <t>11997 SW 218th St</t>
        </is>
      </c>
      <c r="C239" s="16" t="inlineStr">
        <is>
          <t>33170</t>
        </is>
      </c>
      <c r="D239" s="16" t="inlineStr">
        <is>
          <t>Miami-Dade County</t>
        </is>
      </c>
      <c r="E239" s="16" t="inlineStr">
        <is>
          <t>Duplex</t>
        </is>
      </c>
      <c r="F239" s="17" t="n">
        <v>2</v>
      </c>
      <c r="G239" s="18" t="n">
        <v>842000</v>
      </c>
      <c r="H239" s="18" t="n">
        <v>2290</v>
      </c>
      <c r="I239" s="19">
        <f>H239/G239</f>
        <v/>
      </c>
      <c r="J239" s="18">
        <f>H239*(1-Assumptions!$B$4)</f>
        <v/>
      </c>
      <c r="K239" s="20">
        <f>PMT(Assumptions!$B$2/12, 360, -G239*(1-Assumptions!$B$3))</f>
        <v/>
      </c>
      <c r="L239" s="20">
        <f>J239+K239</f>
        <v/>
      </c>
      <c r="M239" s="21">
        <f>IF(I239&gt;=0.01,50,IF(I239&gt;=0.0095,37,IF(I239&gt;=0.009,25,12)))</f>
        <v/>
      </c>
      <c r="N239" s="21">
        <f>IF(L239&gt;=2000,30,IF(L239&gt;=1000,20,IF(L239&gt;=500,10,5)))</f>
        <v/>
      </c>
      <c r="O239" s="21" t="n">
        <v>16</v>
      </c>
      <c r="P239" s="22">
        <f>M239+N239+O239</f>
        <v/>
      </c>
      <c r="Q239" s="16" t="inlineStr">
        <is>
          <t>A11953857</t>
        </is>
      </c>
      <c r="R239" s="16" t="inlineStr"/>
      <c r="S239" s="16" t="inlineStr"/>
    </row>
    <row r="240">
      <c r="A240" s="15">
        <f>HYPERLINK("https://www.google.com/search?q=A11828404+Miami+MLS+listing", "A11828404")</f>
        <v/>
      </c>
      <c r="B240" s="16" t="inlineStr">
        <is>
          <t>12080 &amp; 12090 SW 213th St</t>
        </is>
      </c>
      <c r="C240" s="16" t="inlineStr">
        <is>
          <t>33177</t>
        </is>
      </c>
      <c r="D240" s="16" t="inlineStr">
        <is>
          <t>Miami-Dade County</t>
        </is>
      </c>
      <c r="E240" s="16" t="inlineStr">
        <is>
          <t>Duplex</t>
        </is>
      </c>
      <c r="F240" s="17" t="n">
        <v>2</v>
      </c>
      <c r="G240" s="18" t="n">
        <v>1399000</v>
      </c>
      <c r="H240" s="18" t="n">
        <v>7892</v>
      </c>
      <c r="I240" s="19">
        <f>H240/G240</f>
        <v/>
      </c>
      <c r="J240" s="18">
        <f>H240*(1-Assumptions!$B$4)</f>
        <v/>
      </c>
      <c r="K240" s="20">
        <f>PMT(Assumptions!$B$2/12, 360, -G240*(1-Assumptions!$B$3))</f>
        <v/>
      </c>
      <c r="L240" s="20">
        <f>J240+K240</f>
        <v/>
      </c>
      <c r="M240" s="21">
        <f>IF(I240&gt;=0.01,50,IF(I240&gt;=0.0095,37,IF(I240&gt;=0.009,25,12)))</f>
        <v/>
      </c>
      <c r="N240" s="21">
        <f>IF(L240&gt;=2000,30,IF(L240&gt;=1000,20,IF(L240&gt;=500,10,5)))</f>
        <v/>
      </c>
      <c r="O240" s="21" t="n">
        <v>16</v>
      </c>
      <c r="P240" s="22">
        <f>M240+N240+O240</f>
        <v/>
      </c>
      <c r="Q240" s="16" t="inlineStr">
        <is>
          <t>A11828404</t>
        </is>
      </c>
      <c r="R240" s="16" t="inlineStr"/>
      <c r="S240" s="16" t="inlineStr"/>
    </row>
    <row r="241">
      <c r="A241" s="15">
        <f>HYPERLINK("https://www.google.com/search?q=A11953800+Miami+MLS+listing", "A11953800")</f>
        <v/>
      </c>
      <c r="B241" s="16" t="inlineStr">
        <is>
          <t>2615 SW 32nd Ave</t>
        </is>
      </c>
      <c r="C241" s="16" t="inlineStr">
        <is>
          <t>33133</t>
        </is>
      </c>
      <c r="D241" s="16" t="inlineStr">
        <is>
          <t>Miami-Dade County</t>
        </is>
      </c>
      <c r="E241" s="16" t="inlineStr">
        <is>
          <t>Duplex</t>
        </is>
      </c>
      <c r="F241" s="17" t="n">
        <v>2</v>
      </c>
      <c r="G241" s="18" t="n">
        <v>750000</v>
      </c>
      <c r="H241" s="18" t="n">
        <v>2200</v>
      </c>
      <c r="I241" s="19">
        <f>H241/G241</f>
        <v/>
      </c>
      <c r="J241" s="18">
        <f>H241*(1-Assumptions!$B$4)</f>
        <v/>
      </c>
      <c r="K241" s="20">
        <f>PMT(Assumptions!$B$2/12, 360, -G241*(1-Assumptions!$B$3))</f>
        <v/>
      </c>
      <c r="L241" s="20">
        <f>J241+K241</f>
        <v/>
      </c>
      <c r="M241" s="21">
        <f>IF(I241&gt;=0.01,50,IF(I241&gt;=0.0095,37,IF(I241&gt;=0.009,25,12)))</f>
        <v/>
      </c>
      <c r="N241" s="21">
        <f>IF(L241&gt;=2000,30,IF(L241&gt;=1000,20,IF(L241&gt;=500,10,5)))</f>
        <v/>
      </c>
      <c r="O241" s="21" t="n">
        <v>16</v>
      </c>
      <c r="P241" s="22">
        <f>M241+N241+O241</f>
        <v/>
      </c>
      <c r="Q241" s="16" t="inlineStr">
        <is>
          <t>A11953800</t>
        </is>
      </c>
      <c r="R241" s="16" t="inlineStr"/>
      <c r="S241" s="16" t="inlineStr"/>
    </row>
    <row r="242">
      <c r="A242" s="15">
        <f>HYPERLINK("https://www.google.com/search?q=A11840579+Miami+MLS+listing", "A11840579")</f>
        <v/>
      </c>
      <c r="B242" s="16" t="inlineStr">
        <is>
          <t>2030 SW 3rd Ave</t>
        </is>
      </c>
      <c r="C242" s="16" t="inlineStr">
        <is>
          <t>33129</t>
        </is>
      </c>
      <c r="D242" s="16" t="inlineStr">
        <is>
          <t>Miami-Dade County</t>
        </is>
      </c>
      <c r="E242" s="16" t="inlineStr">
        <is>
          <t>Fourplex</t>
        </is>
      </c>
      <c r="F242" s="17" t="n">
        <v>4</v>
      </c>
      <c r="G242" s="18" t="n">
        <v>8500000</v>
      </c>
      <c r="H242" s="18" t="n">
        <v>2200</v>
      </c>
      <c r="I242" s="19">
        <f>H242/G242</f>
        <v/>
      </c>
      <c r="J242" s="18">
        <f>H242*(1-Assumptions!$B$4)</f>
        <v/>
      </c>
      <c r="K242" s="20">
        <f>PMT(Assumptions!$B$2/12, 360, -G242*(1-Assumptions!$B$3))</f>
        <v/>
      </c>
      <c r="L242" s="20">
        <f>J242+K242</f>
        <v/>
      </c>
      <c r="M242" s="21">
        <f>IF(I242&gt;=0.01,50,IF(I242&gt;=0.0095,37,IF(I242&gt;=0.009,25,12)))</f>
        <v/>
      </c>
      <c r="N242" s="21">
        <f>IF(L242&gt;=2000,30,IF(L242&gt;=1000,20,IF(L242&gt;=500,10,5)))</f>
        <v/>
      </c>
      <c r="O242" s="21" t="n">
        <v>16</v>
      </c>
      <c r="P242" s="22">
        <f>M242+N242+O242</f>
        <v/>
      </c>
      <c r="Q242" s="16" t="inlineStr">
        <is>
          <t>A11840579</t>
        </is>
      </c>
      <c r="R242" s="16" t="inlineStr"/>
      <c r="S242" s="16" t="inlineStr"/>
    </row>
    <row r="243">
      <c r="A243" s="15">
        <f>HYPERLINK("https://www.google.com/search?q=A11911464+Miami+MLS+listing", "A11911464")</f>
        <v/>
      </c>
      <c r="B243" s="16" t="inlineStr">
        <is>
          <t>5629 SW 7th St</t>
        </is>
      </c>
      <c r="C243" s="16" t="inlineStr">
        <is>
          <t>33134</t>
        </is>
      </c>
      <c r="D243" s="16" t="inlineStr">
        <is>
          <t>Miami-Dade County</t>
        </is>
      </c>
      <c r="E243" s="16" t="inlineStr">
        <is>
          <t>Duplex</t>
        </is>
      </c>
      <c r="F243" s="17" t="n">
        <v>2</v>
      </c>
      <c r="G243" s="18" t="n">
        <v>1015000</v>
      </c>
      <c r="H243" s="18" t="n">
        <v>7850</v>
      </c>
      <c r="I243" s="19">
        <f>H243/G243</f>
        <v/>
      </c>
      <c r="J243" s="18">
        <f>H243*(1-Assumptions!$B$4)</f>
        <v/>
      </c>
      <c r="K243" s="20">
        <f>PMT(Assumptions!$B$2/12, 360, -G243*(1-Assumptions!$B$3))</f>
        <v/>
      </c>
      <c r="L243" s="20">
        <f>J243+K243</f>
        <v/>
      </c>
      <c r="M243" s="21">
        <f>IF(I243&gt;=0.01,50,IF(I243&gt;=0.0095,37,IF(I243&gt;=0.009,25,12)))</f>
        <v/>
      </c>
      <c r="N243" s="21">
        <f>IF(L243&gt;=2000,30,IF(L243&gt;=1000,20,IF(L243&gt;=500,10,5)))</f>
        <v/>
      </c>
      <c r="O243" s="21" t="n">
        <v>16</v>
      </c>
      <c r="P243" s="22">
        <f>M243+N243+O243</f>
        <v/>
      </c>
      <c r="Q243" s="16" t="inlineStr">
        <is>
          <t>A11911464</t>
        </is>
      </c>
      <c r="R243" s="16" t="inlineStr"/>
      <c r="S243" s="16" t="inlineStr"/>
    </row>
    <row r="244">
      <c r="A244" s="15">
        <f>HYPERLINK("https://www.google.com/search?q=A11898142+Miami+MLS+listing", "A11898142")</f>
        <v/>
      </c>
      <c r="B244" s="16" t="inlineStr">
        <is>
          <t>534 NW 113th St</t>
        </is>
      </c>
      <c r="C244" s="16" t="inlineStr">
        <is>
          <t>33168</t>
        </is>
      </c>
      <c r="D244" s="16" t="inlineStr">
        <is>
          <t>Miami-Dade County</t>
        </is>
      </c>
      <c r="E244" s="16" t="inlineStr">
        <is>
          <t>Duplex</t>
        </is>
      </c>
      <c r="F244" s="17" t="n">
        <v>2</v>
      </c>
      <c r="G244" s="18" t="n">
        <v>639000</v>
      </c>
      <c r="H244" s="18" t="n">
        <v>4900</v>
      </c>
      <c r="I244" s="19">
        <f>H244/G244</f>
        <v/>
      </c>
      <c r="J244" s="18">
        <f>H244*(1-Assumptions!$B$4)</f>
        <v/>
      </c>
      <c r="K244" s="20">
        <f>PMT(Assumptions!$B$2/12, 360, -G244*(1-Assumptions!$B$3))</f>
        <v/>
      </c>
      <c r="L244" s="20">
        <f>J244+K244</f>
        <v/>
      </c>
      <c r="M244" s="21">
        <f>IF(I244&gt;=0.01,50,IF(I244&gt;=0.0095,37,IF(I244&gt;=0.009,25,12)))</f>
        <v/>
      </c>
      <c r="N244" s="21">
        <f>IF(L244&gt;=2000,30,IF(L244&gt;=1000,20,IF(L244&gt;=500,10,5)))</f>
        <v/>
      </c>
      <c r="O244" s="21" t="n">
        <v>16</v>
      </c>
      <c r="P244" s="22">
        <f>M244+N244+O244</f>
        <v/>
      </c>
      <c r="Q244" s="16" t="inlineStr">
        <is>
          <t>A11898142</t>
        </is>
      </c>
      <c r="R244" s="16" t="inlineStr"/>
      <c r="S244" s="16" t="inlineStr"/>
    </row>
    <row r="245">
      <c r="A245" s="15">
        <f>HYPERLINK("https://www.google.com/search?q=A11964250+Miami+MLS+listing", "A11964250")</f>
        <v/>
      </c>
      <c r="B245" s="16" t="inlineStr">
        <is>
          <t>3921-3923 NW 164th St</t>
        </is>
      </c>
      <c r="C245" s="16" t="inlineStr">
        <is>
          <t>33054</t>
        </is>
      </c>
      <c r="D245" s="16" t="inlineStr">
        <is>
          <t>Miami-Dade County</t>
        </is>
      </c>
      <c r="E245" s="16" t="inlineStr">
        <is>
          <t>Duplex</t>
        </is>
      </c>
      <c r="F245" s="17" t="n">
        <v>2</v>
      </c>
      <c r="G245" s="18" t="n">
        <v>685000</v>
      </c>
      <c r="H245" s="18" t="n">
        <v>4929</v>
      </c>
      <c r="I245" s="19">
        <f>H245/G245</f>
        <v/>
      </c>
      <c r="J245" s="18">
        <f>H245*(1-Assumptions!$B$4)</f>
        <v/>
      </c>
      <c r="K245" s="20">
        <f>PMT(Assumptions!$B$2/12, 360, -G245*(1-Assumptions!$B$3))</f>
        <v/>
      </c>
      <c r="L245" s="20">
        <f>J245+K245</f>
        <v/>
      </c>
      <c r="M245" s="21">
        <f>IF(I245&gt;=0.01,50,IF(I245&gt;=0.0095,37,IF(I245&gt;=0.009,25,12)))</f>
        <v/>
      </c>
      <c r="N245" s="21">
        <f>IF(L245&gt;=2000,30,IF(L245&gt;=1000,20,IF(L245&gt;=500,10,5)))</f>
        <v/>
      </c>
      <c r="O245" s="21" t="n">
        <v>16</v>
      </c>
      <c r="P245" s="22">
        <f>M245+N245+O245</f>
        <v/>
      </c>
      <c r="Q245" s="16" t="inlineStr">
        <is>
          <t>A11964250</t>
        </is>
      </c>
      <c r="R245" s="16" t="inlineStr"/>
      <c r="S245" s="16" t="inlineStr"/>
    </row>
    <row r="246">
      <c r="A246" s="15">
        <f>HYPERLINK("https://www.google.com/search?q=A11961066+Miami+MLS+listing", "A11961066")</f>
        <v/>
      </c>
      <c r="B246" s="16" t="inlineStr">
        <is>
          <t>2474 W 4th Ct</t>
        </is>
      </c>
      <c r="C246" s="16" t="inlineStr">
        <is>
          <t>33010</t>
        </is>
      </c>
      <c r="D246" s="16" t="inlineStr">
        <is>
          <t>Miami-Dade County</t>
        </is>
      </c>
      <c r="E246" s="16" t="inlineStr">
        <is>
          <t>Duplex</t>
        </is>
      </c>
      <c r="F246" s="17" t="n">
        <v>2</v>
      </c>
      <c r="G246" s="18" t="n">
        <v>1750000</v>
      </c>
      <c r="H246" s="18" t="n">
        <v>7000</v>
      </c>
      <c r="I246" s="19">
        <f>H246/G246</f>
        <v/>
      </c>
      <c r="J246" s="18">
        <f>H246*(1-Assumptions!$B$4)</f>
        <v/>
      </c>
      <c r="K246" s="20">
        <f>PMT(Assumptions!$B$2/12, 360, -G246*(1-Assumptions!$B$3))</f>
        <v/>
      </c>
      <c r="L246" s="20">
        <f>J246+K246</f>
        <v/>
      </c>
      <c r="M246" s="21">
        <f>IF(I246&gt;=0.01,50,IF(I246&gt;=0.0095,37,IF(I246&gt;=0.009,25,12)))</f>
        <v/>
      </c>
      <c r="N246" s="21">
        <f>IF(L246&gt;=2000,30,IF(L246&gt;=1000,20,IF(L246&gt;=500,10,5)))</f>
        <v/>
      </c>
      <c r="O246" s="21" t="n">
        <v>16</v>
      </c>
      <c r="P246" s="22">
        <f>M246+N246+O246</f>
        <v/>
      </c>
      <c r="Q246" s="16" t="inlineStr">
        <is>
          <t>A11961066</t>
        </is>
      </c>
      <c r="R246" s="16" t="inlineStr"/>
      <c r="S246" s="16" t="inlineStr"/>
    </row>
    <row r="247">
      <c r="A247" s="15">
        <f>HYPERLINK("https://www.google.com/search?q=A11976708+Miami+MLS+listing", "A11976708")</f>
        <v/>
      </c>
      <c r="B247" s="16" t="inlineStr">
        <is>
          <t>1120 NW 11th St</t>
        </is>
      </c>
      <c r="C247" s="16" t="inlineStr">
        <is>
          <t>33030</t>
        </is>
      </c>
      <c r="D247" s="16" t="inlineStr">
        <is>
          <t>Miami-Dade County</t>
        </is>
      </c>
      <c r="E247" s="16" t="inlineStr">
        <is>
          <t>Duplex</t>
        </is>
      </c>
      <c r="F247" s="17" t="n">
        <v>2</v>
      </c>
      <c r="G247" s="18" t="n">
        <v>450000</v>
      </c>
      <c r="H247" s="18" t="n">
        <v>2700</v>
      </c>
      <c r="I247" s="19">
        <f>H247/G247</f>
        <v/>
      </c>
      <c r="J247" s="18">
        <f>H247*(1-Assumptions!$B$4)</f>
        <v/>
      </c>
      <c r="K247" s="20">
        <f>PMT(Assumptions!$B$2/12, 360, -G247*(1-Assumptions!$B$3))</f>
        <v/>
      </c>
      <c r="L247" s="20">
        <f>J247+K247</f>
        <v/>
      </c>
      <c r="M247" s="21">
        <f>IF(I247&gt;=0.01,50,IF(I247&gt;=0.0095,37,IF(I247&gt;=0.009,25,12)))</f>
        <v/>
      </c>
      <c r="N247" s="21">
        <f>IF(L247&gt;=2000,30,IF(L247&gt;=1000,20,IF(L247&gt;=500,10,5)))</f>
        <v/>
      </c>
      <c r="O247" s="21" t="n">
        <v>16</v>
      </c>
      <c r="P247" s="22">
        <f>M247+N247+O247</f>
        <v/>
      </c>
      <c r="Q247" s="16" t="inlineStr">
        <is>
          <t>A11976708</t>
        </is>
      </c>
      <c r="R247" s="16" t="inlineStr"/>
      <c r="S247" s="16" t="inlineStr"/>
    </row>
    <row r="248">
      <c r="A248" s="15">
        <f>HYPERLINK("https://www.google.com/search?q=A11955609+Miami+MLS+listing", "A11955609")</f>
        <v/>
      </c>
      <c r="B248" s="16" t="inlineStr">
        <is>
          <t>11048 SW 2nd St</t>
        </is>
      </c>
      <c r="C248" s="16" t="inlineStr">
        <is>
          <t>33174</t>
        </is>
      </c>
      <c r="D248" s="16" t="inlineStr">
        <is>
          <t>Miami-Dade County</t>
        </is>
      </c>
      <c r="E248" s="16" t="inlineStr">
        <is>
          <t>Duplex</t>
        </is>
      </c>
      <c r="F248" s="17" t="n">
        <v>2</v>
      </c>
      <c r="G248" s="18" t="n">
        <v>660317</v>
      </c>
      <c r="H248" s="18" t="n">
        <v>2600</v>
      </c>
      <c r="I248" s="19">
        <f>H248/G248</f>
        <v/>
      </c>
      <c r="J248" s="18">
        <f>H248*(1-Assumptions!$B$4)</f>
        <v/>
      </c>
      <c r="K248" s="20">
        <f>PMT(Assumptions!$B$2/12, 360, -G248*(1-Assumptions!$B$3))</f>
        <v/>
      </c>
      <c r="L248" s="20">
        <f>J248+K248</f>
        <v/>
      </c>
      <c r="M248" s="21">
        <f>IF(I248&gt;=0.01,50,IF(I248&gt;=0.0095,37,IF(I248&gt;=0.009,25,12)))</f>
        <v/>
      </c>
      <c r="N248" s="21">
        <f>IF(L248&gt;=2000,30,IF(L248&gt;=1000,20,IF(L248&gt;=500,10,5)))</f>
        <v/>
      </c>
      <c r="O248" s="21" t="n">
        <v>16</v>
      </c>
      <c r="P248" s="22">
        <f>M248+N248+O248</f>
        <v/>
      </c>
      <c r="Q248" s="16" t="inlineStr">
        <is>
          <t>A11955609</t>
        </is>
      </c>
      <c r="R248" s="16" t="inlineStr"/>
      <c r="S248" s="16" t="inlineStr"/>
    </row>
    <row r="249">
      <c r="A249" s="15">
        <f>HYPERLINK("https://www.google.com/search?q=A11897423+Miami+MLS+listing", "A11897423")</f>
        <v/>
      </c>
      <c r="B249" s="16" t="inlineStr">
        <is>
          <t>2783 - 2785 SW 33rd Ct</t>
        </is>
      </c>
      <c r="C249" s="16" t="inlineStr">
        <is>
          <t>33133</t>
        </is>
      </c>
      <c r="D249" s="16" t="inlineStr">
        <is>
          <t>Miami-Dade County</t>
        </is>
      </c>
      <c r="E249" s="16" t="inlineStr">
        <is>
          <t>Duplex</t>
        </is>
      </c>
      <c r="F249" s="17" t="n">
        <v>2</v>
      </c>
      <c r="G249" s="18" t="n">
        <v>999000</v>
      </c>
      <c r="H249" s="18" t="n">
        <v>4400</v>
      </c>
      <c r="I249" s="19">
        <f>H249/G249</f>
        <v/>
      </c>
      <c r="J249" s="18">
        <f>H249*(1-Assumptions!$B$4)</f>
        <v/>
      </c>
      <c r="K249" s="20">
        <f>PMT(Assumptions!$B$2/12, 360, -G249*(1-Assumptions!$B$3))</f>
        <v/>
      </c>
      <c r="L249" s="20">
        <f>J249+K249</f>
        <v/>
      </c>
      <c r="M249" s="21">
        <f>IF(I249&gt;=0.01,50,IF(I249&gt;=0.0095,37,IF(I249&gt;=0.009,25,12)))</f>
        <v/>
      </c>
      <c r="N249" s="21">
        <f>IF(L249&gt;=2000,30,IF(L249&gt;=1000,20,IF(L249&gt;=500,10,5)))</f>
        <v/>
      </c>
      <c r="O249" s="21" t="n">
        <v>16</v>
      </c>
      <c r="P249" s="22">
        <f>M249+N249+O249</f>
        <v/>
      </c>
      <c r="Q249" s="16" t="inlineStr">
        <is>
          <t>A11897423</t>
        </is>
      </c>
      <c r="R249" s="16" t="inlineStr"/>
      <c r="S249" s="16" t="inlineStr"/>
    </row>
    <row r="250">
      <c r="A250" s="15">
        <f>HYPERLINK("https://www.google.com/search?q=A11789034+Miami+MLS+listing", "A11789034")</f>
        <v/>
      </c>
      <c r="B250" s="16" t="inlineStr">
        <is>
          <t>2735 SW 27th Ter</t>
        </is>
      </c>
      <c r="C250" s="16" t="inlineStr">
        <is>
          <t>33133</t>
        </is>
      </c>
      <c r="D250" s="16" t="inlineStr">
        <is>
          <t>Miami-Dade County</t>
        </is>
      </c>
      <c r="E250" s="16" t="inlineStr">
        <is>
          <t>Duplex</t>
        </is>
      </c>
      <c r="F250" s="17" t="n">
        <v>2</v>
      </c>
      <c r="G250" s="18" t="n">
        <v>1750000</v>
      </c>
      <c r="H250" s="18" t="n">
        <v>3600</v>
      </c>
      <c r="I250" s="19">
        <f>H250/G250</f>
        <v/>
      </c>
      <c r="J250" s="18">
        <f>H250*(1-Assumptions!$B$4)</f>
        <v/>
      </c>
      <c r="K250" s="20">
        <f>PMT(Assumptions!$B$2/12, 360, -G250*(1-Assumptions!$B$3))</f>
        <v/>
      </c>
      <c r="L250" s="20">
        <f>J250+K250</f>
        <v/>
      </c>
      <c r="M250" s="21">
        <f>IF(I250&gt;=0.01,50,IF(I250&gt;=0.0095,37,IF(I250&gt;=0.009,25,12)))</f>
        <v/>
      </c>
      <c r="N250" s="21">
        <f>IF(L250&gt;=2000,30,IF(L250&gt;=1000,20,IF(L250&gt;=500,10,5)))</f>
        <v/>
      </c>
      <c r="O250" s="21" t="n">
        <v>16</v>
      </c>
      <c r="P250" s="22">
        <f>M250+N250+O250</f>
        <v/>
      </c>
      <c r="Q250" s="16" t="inlineStr">
        <is>
          <t>A11789034</t>
        </is>
      </c>
      <c r="R250" s="16" t="inlineStr"/>
      <c r="S250" s="16" t="inlineStr"/>
    </row>
    <row r="251">
      <c r="A251" s="15">
        <f>HYPERLINK("https://www.google.com/search?q=A11831640+Miami+MLS+listing", "A11831640")</f>
        <v/>
      </c>
      <c r="B251" s="16" t="inlineStr">
        <is>
          <t>16955 SW 100th Ave</t>
        </is>
      </c>
      <c r="C251" s="16" t="inlineStr">
        <is>
          <t>33157</t>
        </is>
      </c>
      <c r="D251" s="16" t="inlineStr">
        <is>
          <t>Miami-Dade County</t>
        </is>
      </c>
      <c r="E251" s="16" t="inlineStr">
        <is>
          <t>Income/MultiFamily</t>
        </is>
      </c>
      <c r="F251" s="17" t="n">
        <v>2</v>
      </c>
      <c r="G251" s="18" t="n">
        <v>3600000</v>
      </c>
      <c r="H251" s="18" t="n">
        <v>9400</v>
      </c>
      <c r="I251" s="19">
        <f>H251/G251</f>
        <v/>
      </c>
      <c r="J251" s="18">
        <f>H251*(1-Assumptions!$B$4)</f>
        <v/>
      </c>
      <c r="K251" s="20">
        <f>PMT(Assumptions!$B$2/12, 360, -G251*(1-Assumptions!$B$3))</f>
        <v/>
      </c>
      <c r="L251" s="20">
        <f>J251+K251</f>
        <v/>
      </c>
      <c r="M251" s="21">
        <f>IF(I251&gt;=0.01,50,IF(I251&gt;=0.0095,37,IF(I251&gt;=0.009,25,12)))</f>
        <v/>
      </c>
      <c r="N251" s="21">
        <f>IF(L251&gt;=2000,30,IF(L251&gt;=1000,20,IF(L251&gt;=500,10,5)))</f>
        <v/>
      </c>
      <c r="O251" s="21" t="n">
        <v>16</v>
      </c>
      <c r="P251" s="22">
        <f>M251+N251+O251</f>
        <v/>
      </c>
      <c r="Q251" s="16" t="inlineStr">
        <is>
          <t>A11831640</t>
        </is>
      </c>
      <c r="R251" s="16" t="inlineStr"/>
      <c r="S251" s="16" t="inlineStr"/>
    </row>
    <row r="252">
      <c r="A252" s="15">
        <f>HYPERLINK("https://www.google.com/search?q=A11957404+Miami+MLS+listing", "A11957404")</f>
        <v/>
      </c>
      <c r="B252" s="16" t="inlineStr">
        <is>
          <t>20117 SW 88th Ct</t>
        </is>
      </c>
      <c r="C252" s="16" t="inlineStr">
        <is>
          <t>33189</t>
        </is>
      </c>
      <c r="D252" s="16" t="inlineStr">
        <is>
          <t>Miami-Dade County</t>
        </is>
      </c>
      <c r="E252" s="16" t="inlineStr">
        <is>
          <t>Duplex</t>
        </is>
      </c>
      <c r="F252" s="17" t="n">
        <v>2</v>
      </c>
      <c r="G252" s="18" t="n">
        <v>749000</v>
      </c>
      <c r="H252" s="18" t="n">
        <v>3500</v>
      </c>
      <c r="I252" s="19">
        <f>H252/G252</f>
        <v/>
      </c>
      <c r="J252" s="18">
        <f>H252*(1-Assumptions!$B$4)</f>
        <v/>
      </c>
      <c r="K252" s="20">
        <f>PMT(Assumptions!$B$2/12, 360, -G252*(1-Assumptions!$B$3))</f>
        <v/>
      </c>
      <c r="L252" s="20">
        <f>J252+K252</f>
        <v/>
      </c>
      <c r="M252" s="21">
        <f>IF(I252&gt;=0.01,50,IF(I252&gt;=0.0095,37,IF(I252&gt;=0.009,25,12)))</f>
        <v/>
      </c>
      <c r="N252" s="21">
        <f>IF(L252&gt;=2000,30,IF(L252&gt;=1000,20,IF(L252&gt;=500,10,5)))</f>
        <v/>
      </c>
      <c r="O252" s="21" t="n">
        <v>16</v>
      </c>
      <c r="P252" s="22">
        <f>M252+N252+O252</f>
        <v/>
      </c>
      <c r="Q252" s="16" t="inlineStr">
        <is>
          <t>A11957404</t>
        </is>
      </c>
      <c r="R252" s="16" t="inlineStr"/>
      <c r="S252" s="16" t="inlineStr"/>
    </row>
    <row r="253">
      <c r="A253" s="15">
        <f>HYPERLINK("https://www.google.com/search?q=A11959925+Miami+MLS+listing", "A11959925")</f>
        <v/>
      </c>
      <c r="B253" s="16" t="inlineStr">
        <is>
          <t>4025 SW 10th St</t>
        </is>
      </c>
      <c r="C253" s="16" t="inlineStr">
        <is>
          <t>33134</t>
        </is>
      </c>
      <c r="D253" s="16" t="inlineStr">
        <is>
          <t>Miami-Dade County</t>
        </is>
      </c>
      <c r="E253" s="16" t="inlineStr">
        <is>
          <t>Duplex</t>
        </is>
      </c>
      <c r="F253" s="17" t="n">
        <v>2</v>
      </c>
      <c r="G253" s="18" t="n">
        <v>1799000</v>
      </c>
      <c r="H253" s="18" t="n">
        <v>9800</v>
      </c>
      <c r="I253" s="19">
        <f>H253/G253</f>
        <v/>
      </c>
      <c r="J253" s="18">
        <f>H253*(1-Assumptions!$B$4)</f>
        <v/>
      </c>
      <c r="K253" s="20">
        <f>PMT(Assumptions!$B$2/12, 360, -G253*(1-Assumptions!$B$3))</f>
        <v/>
      </c>
      <c r="L253" s="20">
        <f>J253+K253</f>
        <v/>
      </c>
      <c r="M253" s="21">
        <f>IF(I253&gt;=0.01,50,IF(I253&gt;=0.0095,37,IF(I253&gt;=0.009,25,12)))</f>
        <v/>
      </c>
      <c r="N253" s="21">
        <f>IF(L253&gt;=2000,30,IF(L253&gt;=1000,20,IF(L253&gt;=500,10,5)))</f>
        <v/>
      </c>
      <c r="O253" s="21" t="n">
        <v>16</v>
      </c>
      <c r="P253" s="22">
        <f>M253+N253+O253</f>
        <v/>
      </c>
      <c r="Q253" s="16" t="inlineStr">
        <is>
          <t>A11959925</t>
        </is>
      </c>
      <c r="R253" s="16" t="inlineStr"/>
      <c r="S253" s="16" t="inlineStr"/>
    </row>
    <row r="254">
      <c r="A254" s="15">
        <f>HYPERLINK("https://www.google.com/search?q=A11934130+Miami+MLS+listing", "A11934130")</f>
        <v/>
      </c>
      <c r="B254" s="16" t="inlineStr">
        <is>
          <t>1160 NW 9th St</t>
        </is>
      </c>
      <c r="C254" s="16" t="inlineStr">
        <is>
          <t>33030</t>
        </is>
      </c>
      <c r="D254" s="16" t="inlineStr">
        <is>
          <t>Miami-Dade County</t>
        </is>
      </c>
      <c r="E254" s="16" t="inlineStr">
        <is>
          <t>Duplex</t>
        </is>
      </c>
      <c r="F254" s="17" t="n">
        <v>2</v>
      </c>
      <c r="G254" s="18" t="n">
        <v>499000</v>
      </c>
      <c r="H254" s="18" t="n">
        <v>3800</v>
      </c>
      <c r="I254" s="19">
        <f>H254/G254</f>
        <v/>
      </c>
      <c r="J254" s="18">
        <f>H254*(1-Assumptions!$B$4)</f>
        <v/>
      </c>
      <c r="K254" s="20">
        <f>PMT(Assumptions!$B$2/12, 360, -G254*(1-Assumptions!$B$3))</f>
        <v/>
      </c>
      <c r="L254" s="20">
        <f>J254+K254</f>
        <v/>
      </c>
      <c r="M254" s="21">
        <f>IF(I254&gt;=0.01,50,IF(I254&gt;=0.0095,37,IF(I254&gt;=0.009,25,12)))</f>
        <v/>
      </c>
      <c r="N254" s="21">
        <f>IF(L254&gt;=2000,30,IF(L254&gt;=1000,20,IF(L254&gt;=500,10,5)))</f>
        <v/>
      </c>
      <c r="O254" s="21" t="n">
        <v>16</v>
      </c>
      <c r="P254" s="22">
        <f>M254+N254+O254</f>
        <v/>
      </c>
      <c r="Q254" s="16" t="inlineStr">
        <is>
          <t>A11934130</t>
        </is>
      </c>
      <c r="R254" s="16" t="inlineStr"/>
      <c r="S254" s="16" t="inlineStr"/>
    </row>
    <row r="255">
      <c r="A255" s="15">
        <f>HYPERLINK("https://www.google.com/search?q=A11962959+Miami+MLS+listing", "A11962959")</f>
        <v/>
      </c>
      <c r="B255" s="16" t="inlineStr">
        <is>
          <t>9001-9143 SW 77th Ave</t>
        </is>
      </c>
      <c r="C255" s="16" t="inlineStr">
        <is>
          <t>33156</t>
        </is>
      </c>
      <c r="D255" s="16" t="inlineStr">
        <is>
          <t>Miami-Dade County</t>
        </is>
      </c>
      <c r="E255" s="16" t="inlineStr">
        <is>
          <t>Fourplex</t>
        </is>
      </c>
      <c r="F255" s="17" t="n">
        <v>4</v>
      </c>
      <c r="G255" s="18" t="n">
        <v>4650000</v>
      </c>
      <c r="H255" s="18" t="n">
        <v>6300</v>
      </c>
      <c r="I255" s="19">
        <f>H255/G255</f>
        <v/>
      </c>
      <c r="J255" s="18">
        <f>H255*(1-Assumptions!$B$4)</f>
        <v/>
      </c>
      <c r="K255" s="20">
        <f>PMT(Assumptions!$B$2/12, 360, -G255*(1-Assumptions!$B$3))</f>
        <v/>
      </c>
      <c r="L255" s="20">
        <f>J255+K255</f>
        <v/>
      </c>
      <c r="M255" s="21">
        <f>IF(I255&gt;=0.01,50,IF(I255&gt;=0.0095,37,IF(I255&gt;=0.009,25,12)))</f>
        <v/>
      </c>
      <c r="N255" s="21">
        <f>IF(L255&gt;=2000,30,IF(L255&gt;=1000,20,IF(L255&gt;=500,10,5)))</f>
        <v/>
      </c>
      <c r="O255" s="21" t="n">
        <v>16</v>
      </c>
      <c r="P255" s="22">
        <f>M255+N255+O255</f>
        <v/>
      </c>
      <c r="Q255" s="16" t="inlineStr">
        <is>
          <t>A11962959</t>
        </is>
      </c>
      <c r="R255" s="16" t="inlineStr"/>
      <c r="S255" s="16" t="inlineStr"/>
    </row>
    <row r="256">
      <c r="A256" s="15">
        <f>HYPERLINK("https://www.google.com/search?q=A11631258+Miami+MLS+listing", "A11631258")</f>
        <v/>
      </c>
      <c r="B256" s="16" t="inlineStr">
        <is>
          <t>324 E 34th St</t>
        </is>
      </c>
      <c r="C256" s="16" t="inlineStr">
        <is>
          <t>33013</t>
        </is>
      </c>
      <c r="D256" s="16" t="inlineStr">
        <is>
          <t>Miami-Dade County</t>
        </is>
      </c>
      <c r="E256" s="16" t="inlineStr">
        <is>
          <t>Duplex</t>
        </is>
      </c>
      <c r="F256" s="17" t="n">
        <v>2</v>
      </c>
      <c r="G256" s="18" t="n">
        <v>1299000</v>
      </c>
      <c r="H256" s="18" t="n">
        <v>9300</v>
      </c>
      <c r="I256" s="19">
        <f>H256/G256</f>
        <v/>
      </c>
      <c r="J256" s="18">
        <f>H256*(1-Assumptions!$B$4)</f>
        <v/>
      </c>
      <c r="K256" s="20">
        <f>PMT(Assumptions!$B$2/12, 360, -G256*(1-Assumptions!$B$3))</f>
        <v/>
      </c>
      <c r="L256" s="20">
        <f>J256+K256</f>
        <v/>
      </c>
      <c r="M256" s="21">
        <f>IF(I256&gt;=0.01,50,IF(I256&gt;=0.0095,37,IF(I256&gt;=0.009,25,12)))</f>
        <v/>
      </c>
      <c r="N256" s="21">
        <f>IF(L256&gt;=2000,30,IF(L256&gt;=1000,20,IF(L256&gt;=500,10,5)))</f>
        <v/>
      </c>
      <c r="O256" s="21" t="n">
        <v>16</v>
      </c>
      <c r="P256" s="22">
        <f>M256+N256+O256</f>
        <v/>
      </c>
      <c r="Q256" s="16" t="inlineStr">
        <is>
          <t>A11631258</t>
        </is>
      </c>
      <c r="R256" s="16" t="inlineStr"/>
      <c r="S256" s="16" t="inlineStr"/>
    </row>
    <row r="257">
      <c r="A257" s="15">
        <f>HYPERLINK("https://www.google.com/search?q=A11772033+Miami+MLS+listing", "A11772033")</f>
        <v/>
      </c>
      <c r="B257" s="16" t="inlineStr">
        <is>
          <t>1940 Ali Baba Ave</t>
        </is>
      </c>
      <c r="C257" s="16" t="inlineStr">
        <is>
          <t>33054</t>
        </is>
      </c>
      <c r="D257" s="16" t="inlineStr">
        <is>
          <t>Miami-Dade County</t>
        </is>
      </c>
      <c r="E257" s="16" t="inlineStr">
        <is>
          <t>Fourplex</t>
        </is>
      </c>
      <c r="F257" s="17" t="n">
        <v>4</v>
      </c>
      <c r="G257" s="18" t="n">
        <v>800000</v>
      </c>
      <c r="H257" s="18" t="n">
        <v>6200</v>
      </c>
      <c r="I257" s="19">
        <f>H257/G257</f>
        <v/>
      </c>
      <c r="J257" s="18">
        <f>H257*(1-Assumptions!$B$4)</f>
        <v/>
      </c>
      <c r="K257" s="20">
        <f>PMT(Assumptions!$B$2/12, 360, -G257*(1-Assumptions!$B$3))</f>
        <v/>
      </c>
      <c r="L257" s="20">
        <f>J257+K257</f>
        <v/>
      </c>
      <c r="M257" s="21">
        <f>IF(I257&gt;=0.01,50,IF(I257&gt;=0.0095,37,IF(I257&gt;=0.009,25,12)))</f>
        <v/>
      </c>
      <c r="N257" s="21">
        <f>IF(L257&gt;=2000,30,IF(L257&gt;=1000,20,IF(L257&gt;=500,10,5)))</f>
        <v/>
      </c>
      <c r="O257" s="21" t="n">
        <v>16</v>
      </c>
      <c r="P257" s="22">
        <f>M257+N257+O257</f>
        <v/>
      </c>
      <c r="Q257" s="16" t="inlineStr">
        <is>
          <t>A11772033</t>
        </is>
      </c>
      <c r="R257" s="16" t="inlineStr"/>
      <c r="S257" s="16" t="inlineStr"/>
    </row>
    <row r="258">
      <c r="A258" s="15">
        <f>HYPERLINK("https://www.google.com/search?q=A11967563+Miami+MLS+listing", "A11967563")</f>
        <v/>
      </c>
      <c r="B258" s="16" t="inlineStr">
        <is>
          <t>10601 SW 172nd St</t>
        </is>
      </c>
      <c r="C258" s="16" t="inlineStr">
        <is>
          <t>33157</t>
        </is>
      </c>
      <c r="D258" s="16" t="inlineStr">
        <is>
          <t>Miami-Dade County</t>
        </is>
      </c>
      <c r="E258" s="16" t="inlineStr">
        <is>
          <t>Duplex</t>
        </is>
      </c>
      <c r="F258" s="17" t="n">
        <v>2</v>
      </c>
      <c r="G258" s="18" t="n">
        <v>550000</v>
      </c>
      <c r="H258" s="18" t="n">
        <v>3300</v>
      </c>
      <c r="I258" s="19">
        <f>H258/G258</f>
        <v/>
      </c>
      <c r="J258" s="18">
        <f>H258*(1-Assumptions!$B$4)</f>
        <v/>
      </c>
      <c r="K258" s="20">
        <f>PMT(Assumptions!$B$2/12, 360, -G258*(1-Assumptions!$B$3))</f>
        <v/>
      </c>
      <c r="L258" s="20">
        <f>J258+K258</f>
        <v/>
      </c>
      <c r="M258" s="21">
        <f>IF(I258&gt;=0.01,50,IF(I258&gt;=0.0095,37,IF(I258&gt;=0.009,25,12)))</f>
        <v/>
      </c>
      <c r="N258" s="21">
        <f>IF(L258&gt;=2000,30,IF(L258&gt;=1000,20,IF(L258&gt;=500,10,5)))</f>
        <v/>
      </c>
      <c r="O258" s="21" t="n">
        <v>16</v>
      </c>
      <c r="P258" s="22">
        <f>M258+N258+O258</f>
        <v/>
      </c>
      <c r="Q258" s="16" t="inlineStr">
        <is>
          <t>A11967563</t>
        </is>
      </c>
      <c r="R258" s="16" t="inlineStr"/>
      <c r="S258" s="16" t="inlineStr"/>
    </row>
    <row r="259">
      <c r="A259" s="15">
        <f>HYPERLINK("https://www.google.com/search?q=A11934340+Miami+MLS+listing", "A11934340")</f>
        <v/>
      </c>
      <c r="B259" s="16" t="inlineStr">
        <is>
          <t>111 Salamanca Ave</t>
        </is>
      </c>
      <c r="C259" s="16" t="inlineStr">
        <is>
          <t>33134</t>
        </is>
      </c>
      <c r="D259" s="16" t="inlineStr">
        <is>
          <t>Miami-Dade County</t>
        </is>
      </c>
      <c r="E259" s="16" t="inlineStr">
        <is>
          <t>Fourplex</t>
        </is>
      </c>
      <c r="F259" s="17" t="n">
        <v>4</v>
      </c>
      <c r="G259" s="18" t="n">
        <v>2400000</v>
      </c>
      <c r="H259" s="18" t="n">
        <v>4000</v>
      </c>
      <c r="I259" s="19">
        <f>H259/G259</f>
        <v/>
      </c>
      <c r="J259" s="18">
        <f>H259*(1-Assumptions!$B$4)</f>
        <v/>
      </c>
      <c r="K259" s="20">
        <f>PMT(Assumptions!$B$2/12, 360, -G259*(1-Assumptions!$B$3))</f>
        <v/>
      </c>
      <c r="L259" s="20">
        <f>J259+K259</f>
        <v/>
      </c>
      <c r="M259" s="21">
        <f>IF(I259&gt;=0.01,50,IF(I259&gt;=0.0095,37,IF(I259&gt;=0.009,25,12)))</f>
        <v/>
      </c>
      <c r="N259" s="21">
        <f>IF(L259&gt;=2000,30,IF(L259&gt;=1000,20,IF(L259&gt;=500,10,5)))</f>
        <v/>
      </c>
      <c r="O259" s="21" t="n">
        <v>16</v>
      </c>
      <c r="P259" s="22">
        <f>M259+N259+O259</f>
        <v/>
      </c>
      <c r="Q259" s="16" t="inlineStr">
        <is>
          <t>A11934340</t>
        </is>
      </c>
      <c r="R259" s="16" t="inlineStr"/>
      <c r="S259" s="16" t="inlineStr"/>
    </row>
    <row r="260">
      <c r="A260" s="15">
        <f>HYPERLINK("https://www.google.com/search?q=A11879952+Miami+MLS+listing", "A11879952")</f>
        <v/>
      </c>
      <c r="B260" s="16" t="inlineStr">
        <is>
          <t>1406 NW 2nd Ave</t>
        </is>
      </c>
      <c r="C260" s="16" t="inlineStr">
        <is>
          <t>33034</t>
        </is>
      </c>
      <c r="D260" s="16" t="inlineStr">
        <is>
          <t>Miami-Dade County</t>
        </is>
      </c>
      <c r="E260" s="16" t="inlineStr">
        <is>
          <t>Fourplex</t>
        </is>
      </c>
      <c r="F260" s="17" t="n">
        <v>4</v>
      </c>
      <c r="G260" s="18" t="n">
        <v>1150000</v>
      </c>
      <c r="H260" s="18" t="n">
        <v>3100</v>
      </c>
      <c r="I260" s="19">
        <f>H260/G260</f>
        <v/>
      </c>
      <c r="J260" s="18">
        <f>H260*(1-Assumptions!$B$4)</f>
        <v/>
      </c>
      <c r="K260" s="20">
        <f>PMT(Assumptions!$B$2/12, 360, -G260*(1-Assumptions!$B$3))</f>
        <v/>
      </c>
      <c r="L260" s="20">
        <f>J260+K260</f>
        <v/>
      </c>
      <c r="M260" s="21">
        <f>IF(I260&gt;=0.01,50,IF(I260&gt;=0.0095,37,IF(I260&gt;=0.009,25,12)))</f>
        <v/>
      </c>
      <c r="N260" s="21">
        <f>IF(L260&gt;=2000,30,IF(L260&gt;=1000,20,IF(L260&gt;=500,10,5)))</f>
        <v/>
      </c>
      <c r="O260" s="21" t="n">
        <v>16</v>
      </c>
      <c r="P260" s="22">
        <f>M260+N260+O260</f>
        <v/>
      </c>
      <c r="Q260" s="16" t="inlineStr">
        <is>
          <t>A11879952</t>
        </is>
      </c>
      <c r="R260" s="16" t="inlineStr"/>
      <c r="S260" s="16" t="inlineStr"/>
    </row>
    <row r="261">
      <c r="A261" s="15">
        <f>HYPERLINK("https://www.google.com/search?q=A11977691+Miami+MLS+listing", "A11977691")</f>
        <v/>
      </c>
      <c r="B261" s="16" t="inlineStr">
        <is>
          <t>18963 SW 113th Court</t>
        </is>
      </c>
      <c r="C261" s="16" t="inlineStr">
        <is>
          <t>33157</t>
        </is>
      </c>
      <c r="D261" s="16" t="inlineStr">
        <is>
          <t>Miami-Dade County</t>
        </is>
      </c>
      <c r="E261" s="16" t="inlineStr">
        <is>
          <t>Duplex</t>
        </is>
      </c>
      <c r="F261" s="17" t="n">
        <v>2</v>
      </c>
      <c r="G261" s="18" t="n">
        <v>485000</v>
      </c>
      <c r="H261" s="18" t="n">
        <v>3000</v>
      </c>
      <c r="I261" s="19">
        <f>H261/G261</f>
        <v/>
      </c>
      <c r="J261" s="18">
        <f>H261*(1-Assumptions!$B$4)</f>
        <v/>
      </c>
      <c r="K261" s="20">
        <f>PMT(Assumptions!$B$2/12, 360, -G261*(1-Assumptions!$B$3))</f>
        <v/>
      </c>
      <c r="L261" s="20">
        <f>J261+K261</f>
        <v/>
      </c>
      <c r="M261" s="21">
        <f>IF(I261&gt;=0.01,50,IF(I261&gt;=0.0095,37,IF(I261&gt;=0.009,25,12)))</f>
        <v/>
      </c>
      <c r="N261" s="21">
        <f>IF(L261&gt;=2000,30,IF(L261&gt;=1000,20,IF(L261&gt;=500,10,5)))</f>
        <v/>
      </c>
      <c r="O261" s="21" t="n">
        <v>16</v>
      </c>
      <c r="P261" s="22">
        <f>M261+N261+O261</f>
        <v/>
      </c>
      <c r="Q261" s="16" t="inlineStr">
        <is>
          <t>A11977691</t>
        </is>
      </c>
      <c r="R261" s="16" t="inlineStr"/>
      <c r="S261" s="16" t="inlineStr"/>
    </row>
    <row r="262">
      <c r="A262" s="15">
        <f>HYPERLINK("https://www.google.com/search?q=A11835147+Miami+MLS+listing", "A11835147")</f>
        <v/>
      </c>
      <c r="B262" s="16" t="inlineStr">
        <is>
          <t>10000 NW 80th Ct</t>
        </is>
      </c>
      <c r="C262" s="16" t="inlineStr">
        <is>
          <t>33016</t>
        </is>
      </c>
      <c r="D262" s="16" t="inlineStr">
        <is>
          <t>Miami-Dade County</t>
        </is>
      </c>
      <c r="E262" s="16" t="inlineStr">
        <is>
          <t>Fourplex</t>
        </is>
      </c>
      <c r="F262" s="17" t="n">
        <v>4</v>
      </c>
      <c r="G262" s="18" t="n">
        <v>1246900</v>
      </c>
      <c r="H262" s="18" t="n">
        <v>8800</v>
      </c>
      <c r="I262" s="19">
        <f>H262/G262</f>
        <v/>
      </c>
      <c r="J262" s="18">
        <f>H262*(1-Assumptions!$B$4)</f>
        <v/>
      </c>
      <c r="K262" s="20">
        <f>PMT(Assumptions!$B$2/12, 360, -G262*(1-Assumptions!$B$3))</f>
        <v/>
      </c>
      <c r="L262" s="20">
        <f>J262+K262</f>
        <v/>
      </c>
      <c r="M262" s="21">
        <f>IF(I262&gt;=0.01,50,IF(I262&gt;=0.0095,37,IF(I262&gt;=0.009,25,12)))</f>
        <v/>
      </c>
      <c r="N262" s="21">
        <f>IF(L262&gt;=2000,30,IF(L262&gt;=1000,20,IF(L262&gt;=500,10,5)))</f>
        <v/>
      </c>
      <c r="O262" s="21" t="n">
        <v>16</v>
      </c>
      <c r="P262" s="22">
        <f>M262+N262+O262</f>
        <v/>
      </c>
      <c r="Q262" s="16" t="inlineStr">
        <is>
          <t>A11835147</t>
        </is>
      </c>
      <c r="R262" s="16" t="inlineStr"/>
      <c r="S262" s="16" t="inlineStr"/>
    </row>
    <row r="263">
      <c r="A263" s="15">
        <f>HYPERLINK("https://www.google.com/search?q=A11955525+Miami+MLS+listing", "A11955525")</f>
        <v/>
      </c>
      <c r="B263" s="16" t="inlineStr">
        <is>
          <t>536 SW 6th Ter</t>
        </is>
      </c>
      <c r="C263" s="16" t="inlineStr">
        <is>
          <t>33030</t>
        </is>
      </c>
      <c r="D263" s="16" t="inlineStr">
        <is>
          <t>Miami-Dade County</t>
        </is>
      </c>
      <c r="E263" s="16" t="inlineStr">
        <is>
          <t>Duplex</t>
        </is>
      </c>
      <c r="F263" s="17" t="n">
        <v>2</v>
      </c>
      <c r="G263" s="18" t="n">
        <v>389000</v>
      </c>
      <c r="H263" s="18" t="n">
        <v>3000</v>
      </c>
      <c r="I263" s="19">
        <f>H263/G263</f>
        <v/>
      </c>
      <c r="J263" s="18">
        <f>H263*(1-Assumptions!$B$4)</f>
        <v/>
      </c>
      <c r="K263" s="20">
        <f>PMT(Assumptions!$B$2/12, 360, -G263*(1-Assumptions!$B$3))</f>
        <v/>
      </c>
      <c r="L263" s="20">
        <f>J263+K263</f>
        <v/>
      </c>
      <c r="M263" s="21">
        <f>IF(I263&gt;=0.01,50,IF(I263&gt;=0.0095,37,IF(I263&gt;=0.009,25,12)))</f>
        <v/>
      </c>
      <c r="N263" s="21">
        <f>IF(L263&gt;=2000,30,IF(L263&gt;=1000,20,IF(L263&gt;=500,10,5)))</f>
        <v/>
      </c>
      <c r="O263" s="21" t="n">
        <v>16</v>
      </c>
      <c r="P263" s="22">
        <f>M263+N263+O263</f>
        <v/>
      </c>
      <c r="Q263" s="16" t="inlineStr">
        <is>
          <t>A11955525</t>
        </is>
      </c>
      <c r="R263" s="16" t="inlineStr"/>
      <c r="S263" s="16" t="inlineStr"/>
    </row>
    <row r="264">
      <c r="A264" s="15">
        <f>HYPERLINK("https://www.google.com/search?q=A11901625+Miami+MLS+listing", "A11901625")</f>
        <v/>
      </c>
      <c r="B264" s="16" t="inlineStr">
        <is>
          <t>4201 SW 7th St</t>
        </is>
      </c>
      <c r="C264" s="16" t="inlineStr">
        <is>
          <t>33134</t>
        </is>
      </c>
      <c r="D264" s="16" t="inlineStr">
        <is>
          <t>Miami-Dade County</t>
        </is>
      </c>
      <c r="E264" s="16" t="inlineStr">
        <is>
          <t>Fourplex</t>
        </is>
      </c>
      <c r="F264" s="17" t="n">
        <v>4</v>
      </c>
      <c r="G264" s="18" t="n">
        <v>1575000</v>
      </c>
      <c r="H264" s="18" t="n">
        <v>6900</v>
      </c>
      <c r="I264" s="19">
        <f>H264/G264</f>
        <v/>
      </c>
      <c r="J264" s="18">
        <f>H264*(1-Assumptions!$B$4)</f>
        <v/>
      </c>
      <c r="K264" s="20">
        <f>PMT(Assumptions!$B$2/12, 360, -G264*(1-Assumptions!$B$3))</f>
        <v/>
      </c>
      <c r="L264" s="20">
        <f>J264+K264</f>
        <v/>
      </c>
      <c r="M264" s="21">
        <f>IF(I264&gt;=0.01,50,IF(I264&gt;=0.0095,37,IF(I264&gt;=0.009,25,12)))</f>
        <v/>
      </c>
      <c r="N264" s="21">
        <f>IF(L264&gt;=2000,30,IF(L264&gt;=1000,20,IF(L264&gt;=500,10,5)))</f>
        <v/>
      </c>
      <c r="O264" s="21" t="n">
        <v>16</v>
      </c>
      <c r="P264" s="22">
        <f>M264+N264+O264</f>
        <v/>
      </c>
      <c r="Q264" s="16" t="inlineStr">
        <is>
          <t>A11901625</t>
        </is>
      </c>
      <c r="R264" s="16" t="inlineStr"/>
      <c r="S264" s="16" t="inlineStr"/>
    </row>
    <row r="265">
      <c r="A265" s="15">
        <f>HYPERLINK("https://www.google.com/search?q=A11907843+Miami+MLS+listing", "A11907843")</f>
        <v/>
      </c>
      <c r="B265" s="16" t="inlineStr">
        <is>
          <t>11275 NW 17th Ave</t>
        </is>
      </c>
      <c r="C265" s="16" t="inlineStr">
        <is>
          <t>33167</t>
        </is>
      </c>
      <c r="D265" s="16" t="inlineStr">
        <is>
          <t>Miami-Dade County</t>
        </is>
      </c>
      <c r="E265" s="16" t="inlineStr">
        <is>
          <t>Duplex</t>
        </is>
      </c>
      <c r="F265" s="17" t="n">
        <v>2</v>
      </c>
      <c r="G265" s="18" t="n">
        <v>599900</v>
      </c>
      <c r="H265" s="18" t="n">
        <v>2900</v>
      </c>
      <c r="I265" s="19">
        <f>H265/G265</f>
        <v/>
      </c>
      <c r="J265" s="18">
        <f>H265*(1-Assumptions!$B$4)</f>
        <v/>
      </c>
      <c r="K265" s="20">
        <f>PMT(Assumptions!$B$2/12, 360, -G265*(1-Assumptions!$B$3))</f>
        <v/>
      </c>
      <c r="L265" s="20">
        <f>J265+K265</f>
        <v/>
      </c>
      <c r="M265" s="21">
        <f>IF(I265&gt;=0.01,50,IF(I265&gt;=0.0095,37,IF(I265&gt;=0.009,25,12)))</f>
        <v/>
      </c>
      <c r="N265" s="21">
        <f>IF(L265&gt;=2000,30,IF(L265&gt;=1000,20,IF(L265&gt;=500,10,5)))</f>
        <v/>
      </c>
      <c r="O265" s="21" t="n">
        <v>16</v>
      </c>
      <c r="P265" s="22">
        <f>M265+N265+O265</f>
        <v/>
      </c>
      <c r="Q265" s="16" t="inlineStr">
        <is>
          <t>A11907843</t>
        </is>
      </c>
      <c r="R265" s="16" t="inlineStr"/>
      <c r="S265" s="16" t="inlineStr"/>
    </row>
    <row r="266">
      <c r="A266" s="15">
        <f>HYPERLINK("https://www.google.com/search?q=A11954898+Miami+MLS+listing", "A11954898")</f>
        <v/>
      </c>
      <c r="B266" s="16" t="inlineStr">
        <is>
          <t>9435-9437 SW 39th St</t>
        </is>
      </c>
      <c r="C266" s="16" t="inlineStr">
        <is>
          <t>33165</t>
        </is>
      </c>
      <c r="D266" s="16" t="inlineStr">
        <is>
          <t>Miami-Dade County</t>
        </is>
      </c>
      <c r="E266" s="16" t="inlineStr">
        <is>
          <t>Duplex</t>
        </is>
      </c>
      <c r="F266" s="17" t="n">
        <v>2</v>
      </c>
      <c r="G266" s="18" t="n">
        <v>1325000</v>
      </c>
      <c r="H266" s="18" t="n">
        <v>6000</v>
      </c>
      <c r="I266" s="19">
        <f>H266/G266</f>
        <v/>
      </c>
      <c r="J266" s="18">
        <f>H266*(1-Assumptions!$B$4)</f>
        <v/>
      </c>
      <c r="K266" s="20">
        <f>PMT(Assumptions!$B$2/12, 360, -G266*(1-Assumptions!$B$3))</f>
        <v/>
      </c>
      <c r="L266" s="20">
        <f>J266+K266</f>
        <v/>
      </c>
      <c r="M266" s="21">
        <f>IF(I266&gt;=0.01,50,IF(I266&gt;=0.0095,37,IF(I266&gt;=0.009,25,12)))</f>
        <v/>
      </c>
      <c r="N266" s="21">
        <f>IF(L266&gt;=2000,30,IF(L266&gt;=1000,20,IF(L266&gt;=500,10,5)))</f>
        <v/>
      </c>
      <c r="O266" s="21" t="n">
        <v>16</v>
      </c>
      <c r="P266" s="22">
        <f>M266+N266+O266</f>
        <v/>
      </c>
      <c r="Q266" s="16" t="inlineStr">
        <is>
          <t>A11954898</t>
        </is>
      </c>
      <c r="R266" s="16" t="inlineStr"/>
      <c r="S266" s="16" t="inlineStr"/>
    </row>
    <row r="267">
      <c r="A267" s="15">
        <f>HYPERLINK("https://www.google.com/search?q=A11905344+Miami+MLS+listing", "A11905344")</f>
        <v/>
      </c>
      <c r="B267" s="16" t="inlineStr">
        <is>
          <t>637 SW 7th St</t>
        </is>
      </c>
      <c r="C267" s="16" t="inlineStr">
        <is>
          <t>33034</t>
        </is>
      </c>
      <c r="D267" s="16" t="inlineStr">
        <is>
          <t>Miami-Dade County</t>
        </is>
      </c>
      <c r="E267" s="16" t="inlineStr">
        <is>
          <t>Fourplex</t>
        </is>
      </c>
      <c r="F267" s="17" t="n">
        <v>4</v>
      </c>
      <c r="G267" s="18" t="n">
        <v>3354600</v>
      </c>
      <c r="H267" s="18" t="n">
        <v>2900</v>
      </c>
      <c r="I267" s="19">
        <f>H267/G267</f>
        <v/>
      </c>
      <c r="J267" s="18">
        <f>H267*(1-Assumptions!$B$4)</f>
        <v/>
      </c>
      <c r="K267" s="20">
        <f>PMT(Assumptions!$B$2/12, 360, -G267*(1-Assumptions!$B$3))</f>
        <v/>
      </c>
      <c r="L267" s="20">
        <f>J267+K267</f>
        <v/>
      </c>
      <c r="M267" s="21">
        <f>IF(I267&gt;=0.01,50,IF(I267&gt;=0.0095,37,IF(I267&gt;=0.009,25,12)))</f>
        <v/>
      </c>
      <c r="N267" s="21">
        <f>IF(L267&gt;=2000,30,IF(L267&gt;=1000,20,IF(L267&gt;=500,10,5)))</f>
        <v/>
      </c>
      <c r="O267" s="21" t="n">
        <v>16</v>
      </c>
      <c r="P267" s="22">
        <f>M267+N267+O267</f>
        <v/>
      </c>
      <c r="Q267" s="16" t="inlineStr">
        <is>
          <t>A11905344</t>
        </is>
      </c>
      <c r="R267" s="16" t="inlineStr"/>
      <c r="S267" s="16" t="inlineStr"/>
    </row>
    <row r="268">
      <c r="A268" s="15">
        <f>HYPERLINK("https://www.google.com/search?q=A11962609+Miami+MLS+listing", "A11962609")</f>
        <v/>
      </c>
      <c r="B268" s="16" t="inlineStr">
        <is>
          <t>1168 W 24th St</t>
        </is>
      </c>
      <c r="C268" s="16" t="inlineStr">
        <is>
          <t>33010</t>
        </is>
      </c>
      <c r="D268" s="16" t="inlineStr">
        <is>
          <t>Miami-Dade County</t>
        </is>
      </c>
      <c r="E268" s="16" t="inlineStr">
        <is>
          <t>Duplex</t>
        </is>
      </c>
      <c r="F268" s="17" t="n">
        <v>2</v>
      </c>
      <c r="G268" s="18" t="n">
        <v>850000</v>
      </c>
      <c r="H268" s="18" t="n">
        <v>2800</v>
      </c>
      <c r="I268" s="19">
        <f>H268/G268</f>
        <v/>
      </c>
      <c r="J268" s="18">
        <f>H268*(1-Assumptions!$B$4)</f>
        <v/>
      </c>
      <c r="K268" s="20">
        <f>PMT(Assumptions!$B$2/12, 360, -G268*(1-Assumptions!$B$3))</f>
        <v/>
      </c>
      <c r="L268" s="20">
        <f>J268+K268</f>
        <v/>
      </c>
      <c r="M268" s="21">
        <f>IF(I268&gt;=0.01,50,IF(I268&gt;=0.0095,37,IF(I268&gt;=0.009,25,12)))</f>
        <v/>
      </c>
      <c r="N268" s="21">
        <f>IF(L268&gt;=2000,30,IF(L268&gt;=1000,20,IF(L268&gt;=500,10,5)))</f>
        <v/>
      </c>
      <c r="O268" s="21" t="n">
        <v>16</v>
      </c>
      <c r="P268" s="22">
        <f>M268+N268+O268</f>
        <v/>
      </c>
      <c r="Q268" s="16" t="inlineStr">
        <is>
          <t>A11962609</t>
        </is>
      </c>
      <c r="R268" s="16" t="inlineStr"/>
      <c r="S268" s="16" t="inlineStr"/>
    </row>
    <row r="269">
      <c r="A269" s="15">
        <f>HYPERLINK("https://www.google.com/search?q=A11874562+Miami+MLS+listing", "A11874562")</f>
        <v/>
      </c>
      <c r="B269" s="16" t="inlineStr">
        <is>
          <t>9360 SW 37th St</t>
        </is>
      </c>
      <c r="C269" s="16" t="inlineStr">
        <is>
          <t>33165</t>
        </is>
      </c>
      <c r="D269" s="16" t="inlineStr">
        <is>
          <t>Miami-Dade County</t>
        </is>
      </c>
      <c r="E269" s="16" t="inlineStr">
        <is>
          <t>Triplex</t>
        </is>
      </c>
      <c r="F269" s="17" t="n">
        <v>3</v>
      </c>
      <c r="G269" s="18" t="n">
        <v>1100000</v>
      </c>
      <c r="H269" s="18" t="n">
        <v>2000</v>
      </c>
      <c r="I269" s="19">
        <f>H269/G269</f>
        <v/>
      </c>
      <c r="J269" s="18">
        <f>H269*(1-Assumptions!$B$4)</f>
        <v/>
      </c>
      <c r="K269" s="20">
        <f>PMT(Assumptions!$B$2/12, 360, -G269*(1-Assumptions!$B$3))</f>
        <v/>
      </c>
      <c r="L269" s="20">
        <f>J269+K269</f>
        <v/>
      </c>
      <c r="M269" s="21">
        <f>IF(I269&gt;=0.01,50,IF(I269&gt;=0.0095,37,IF(I269&gt;=0.009,25,12)))</f>
        <v/>
      </c>
      <c r="N269" s="21">
        <f>IF(L269&gt;=2000,30,IF(L269&gt;=1000,20,IF(L269&gt;=500,10,5)))</f>
        <v/>
      </c>
      <c r="O269" s="21" t="n">
        <v>16</v>
      </c>
      <c r="P269" s="22">
        <f>M269+N269+O269</f>
        <v/>
      </c>
      <c r="Q269" s="16" t="inlineStr">
        <is>
          <t>A11874562</t>
        </is>
      </c>
      <c r="R269" s="16" t="inlineStr"/>
      <c r="S269" s="16" t="inlineStr"/>
    </row>
    <row r="270">
      <c r="A270" s="15">
        <f>HYPERLINK("https://www.google.com/search?q=A11959526+Miami+MLS+listing", "A11959526")</f>
        <v/>
      </c>
      <c r="B270" s="16" t="inlineStr">
        <is>
          <t>21226-21230 SW 119th Ave</t>
        </is>
      </c>
      <c r="C270" s="16" t="inlineStr">
        <is>
          <t>33177</t>
        </is>
      </c>
      <c r="D270" s="16" t="inlineStr">
        <is>
          <t>Miami-Dade County</t>
        </is>
      </c>
      <c r="E270" s="16" t="inlineStr">
        <is>
          <t>Duplex</t>
        </is>
      </c>
      <c r="F270" s="17" t="n">
        <v>2</v>
      </c>
      <c r="G270" s="18" t="n">
        <v>760000</v>
      </c>
      <c r="H270" s="18" t="n">
        <v>5900</v>
      </c>
      <c r="I270" s="19">
        <f>H270/G270</f>
        <v/>
      </c>
      <c r="J270" s="18">
        <f>H270*(1-Assumptions!$B$4)</f>
        <v/>
      </c>
      <c r="K270" s="20">
        <f>PMT(Assumptions!$B$2/12, 360, -G270*(1-Assumptions!$B$3))</f>
        <v/>
      </c>
      <c r="L270" s="20">
        <f>J270+K270</f>
        <v/>
      </c>
      <c r="M270" s="21">
        <f>IF(I270&gt;=0.01,50,IF(I270&gt;=0.0095,37,IF(I270&gt;=0.009,25,12)))</f>
        <v/>
      </c>
      <c r="N270" s="21">
        <f>IF(L270&gt;=2000,30,IF(L270&gt;=1000,20,IF(L270&gt;=500,10,5)))</f>
        <v/>
      </c>
      <c r="O270" s="21" t="n">
        <v>16</v>
      </c>
      <c r="P270" s="22">
        <f>M270+N270+O270</f>
        <v/>
      </c>
      <c r="Q270" s="16" t="inlineStr">
        <is>
          <t>A11959526</t>
        </is>
      </c>
      <c r="R270" s="16" t="inlineStr"/>
      <c r="S270" s="16" t="inlineStr"/>
    </row>
    <row r="271">
      <c r="A271" s="15">
        <f>HYPERLINK("https://www.google.com/search?q=A11961791+Miami+MLS+listing", "A11961791")</f>
        <v/>
      </c>
      <c r="B271" s="16" t="inlineStr">
        <is>
          <t>11700 SW 221st St</t>
        </is>
      </c>
      <c r="C271" s="16" t="inlineStr">
        <is>
          <t>33170</t>
        </is>
      </c>
      <c r="D271" s="16" t="inlineStr">
        <is>
          <t>Miami-Dade County</t>
        </is>
      </c>
      <c r="E271" s="16" t="inlineStr">
        <is>
          <t>Duplex</t>
        </is>
      </c>
      <c r="F271" s="17" t="n">
        <v>2</v>
      </c>
      <c r="G271" s="18" t="n">
        <v>569000</v>
      </c>
      <c r="H271" s="18" t="n">
        <v>2045</v>
      </c>
      <c r="I271" s="19">
        <f>H271/G271</f>
        <v/>
      </c>
      <c r="J271" s="18">
        <f>H271*(1-Assumptions!$B$4)</f>
        <v/>
      </c>
      <c r="K271" s="20">
        <f>PMT(Assumptions!$B$2/12, 360, -G271*(1-Assumptions!$B$3))</f>
        <v/>
      </c>
      <c r="L271" s="20">
        <f>J271+K271</f>
        <v/>
      </c>
      <c r="M271" s="21">
        <f>IF(I271&gt;=0.01,50,IF(I271&gt;=0.0095,37,IF(I271&gt;=0.009,25,12)))</f>
        <v/>
      </c>
      <c r="N271" s="21">
        <f>IF(L271&gt;=2000,30,IF(L271&gt;=1000,20,IF(L271&gt;=500,10,5)))</f>
        <v/>
      </c>
      <c r="O271" s="21" t="n">
        <v>16</v>
      </c>
      <c r="P271" s="22">
        <f>M271+N271+O271</f>
        <v/>
      </c>
      <c r="Q271" s="16" t="inlineStr">
        <is>
          <t>A11961791</t>
        </is>
      </c>
      <c r="R271" s="16" t="inlineStr"/>
      <c r="S271" s="16" t="inlineStr"/>
    </row>
    <row r="272">
      <c r="A272" s="15">
        <f>HYPERLINK("https://www.google.com/search?q=A11960060+Miami+MLS+listing", "A11960060")</f>
        <v/>
      </c>
      <c r="B272" s="16" t="inlineStr">
        <is>
          <t>440 E 37th St</t>
        </is>
      </c>
      <c r="C272" s="16" t="inlineStr">
        <is>
          <t>33013</t>
        </is>
      </c>
      <c r="D272" s="16" t="inlineStr">
        <is>
          <t>Miami-Dade County</t>
        </is>
      </c>
      <c r="E272" s="16" t="inlineStr">
        <is>
          <t>Duplex</t>
        </is>
      </c>
      <c r="F272" s="17" t="n">
        <v>2</v>
      </c>
      <c r="G272" s="18" t="n">
        <v>625000</v>
      </c>
      <c r="H272" s="18" t="n">
        <v>3600</v>
      </c>
      <c r="I272" s="19">
        <f>H272/G272</f>
        <v/>
      </c>
      <c r="J272" s="18">
        <f>H272*(1-Assumptions!$B$4)</f>
        <v/>
      </c>
      <c r="K272" s="20">
        <f>PMT(Assumptions!$B$2/12, 360, -G272*(1-Assumptions!$B$3))</f>
        <v/>
      </c>
      <c r="L272" s="20">
        <f>J272+K272</f>
        <v/>
      </c>
      <c r="M272" s="21">
        <f>IF(I272&gt;=0.01,50,IF(I272&gt;=0.0095,37,IF(I272&gt;=0.009,25,12)))</f>
        <v/>
      </c>
      <c r="N272" s="21">
        <f>IF(L272&gt;=2000,30,IF(L272&gt;=1000,20,IF(L272&gt;=500,10,5)))</f>
        <v/>
      </c>
      <c r="O272" s="21" t="n">
        <v>16</v>
      </c>
      <c r="P272" s="22">
        <f>M272+N272+O272</f>
        <v/>
      </c>
      <c r="Q272" s="16" t="inlineStr">
        <is>
          <t>A11960060</t>
        </is>
      </c>
      <c r="R272" s="16" t="inlineStr"/>
      <c r="S272" s="16" t="inlineStr"/>
    </row>
    <row r="273">
      <c r="A273" s="15">
        <f>HYPERLINK("https://www.google.com/search?q=A11844607+Miami+MLS+listing", "A11844607")</f>
        <v/>
      </c>
      <c r="B273" s="16" t="inlineStr">
        <is>
          <t>2887 SW 33rd Ave</t>
        </is>
      </c>
      <c r="C273" s="16" t="inlineStr">
        <is>
          <t>33133</t>
        </is>
      </c>
      <c r="D273" s="16" t="inlineStr">
        <is>
          <t>Miami-Dade County</t>
        </is>
      </c>
      <c r="E273" s="16" t="inlineStr">
        <is>
          <t>Duplex</t>
        </is>
      </c>
      <c r="F273" s="17" t="n">
        <v>2</v>
      </c>
      <c r="G273" s="18" t="n">
        <v>2495000</v>
      </c>
      <c r="H273" s="18" t="n">
        <v>14400</v>
      </c>
      <c r="I273" s="19">
        <f>H273/G273</f>
        <v/>
      </c>
      <c r="J273" s="18">
        <f>H273*(1-Assumptions!$B$4)</f>
        <v/>
      </c>
      <c r="K273" s="20">
        <f>PMT(Assumptions!$B$2/12, 360, -G273*(1-Assumptions!$B$3))</f>
        <v/>
      </c>
      <c r="L273" s="20">
        <f>J273+K273</f>
        <v/>
      </c>
      <c r="M273" s="21">
        <f>IF(I273&gt;=0.01,50,IF(I273&gt;=0.0095,37,IF(I273&gt;=0.009,25,12)))</f>
        <v/>
      </c>
      <c r="N273" s="21">
        <f>IF(L273&gt;=2000,30,IF(L273&gt;=1000,20,IF(L273&gt;=500,10,5)))</f>
        <v/>
      </c>
      <c r="O273" s="21" t="n">
        <v>16</v>
      </c>
      <c r="P273" s="22">
        <f>M273+N273+O273</f>
        <v/>
      </c>
      <c r="Q273" s="16" t="inlineStr">
        <is>
          <t>A11844607</t>
        </is>
      </c>
      <c r="R273" s="16" t="inlineStr"/>
      <c r="S273" s="16" t="inlineStr"/>
    </row>
    <row r="274">
      <c r="A274" s="15">
        <f>HYPERLINK("https://www.google.com/search?q=A11909161+Miami+MLS+listing", "A11909161")</f>
        <v/>
      </c>
      <c r="B274" s="16" t="inlineStr">
        <is>
          <t>10015 SW 170th Ter</t>
        </is>
      </c>
      <c r="C274" s="16" t="inlineStr">
        <is>
          <t>33157</t>
        </is>
      </c>
      <c r="D274" s="16" t="inlineStr">
        <is>
          <t>Miami-Dade County</t>
        </is>
      </c>
      <c r="E274" s="16" t="inlineStr">
        <is>
          <t>Fourplex</t>
        </is>
      </c>
      <c r="F274" s="17" t="n">
        <v>4</v>
      </c>
      <c r="G274" s="18" t="n">
        <v>1250000</v>
      </c>
      <c r="H274" s="18" t="n">
        <v>7225</v>
      </c>
      <c r="I274" s="19">
        <f>H274/G274</f>
        <v/>
      </c>
      <c r="J274" s="18">
        <f>H274*(1-Assumptions!$B$4)</f>
        <v/>
      </c>
      <c r="K274" s="20">
        <f>PMT(Assumptions!$B$2/12, 360, -G274*(1-Assumptions!$B$3))</f>
        <v/>
      </c>
      <c r="L274" s="20">
        <f>J274+K274</f>
        <v/>
      </c>
      <c r="M274" s="21">
        <f>IF(I274&gt;=0.01,50,IF(I274&gt;=0.0095,37,IF(I274&gt;=0.009,25,12)))</f>
        <v/>
      </c>
      <c r="N274" s="21">
        <f>IF(L274&gt;=2000,30,IF(L274&gt;=1000,20,IF(L274&gt;=500,10,5)))</f>
        <v/>
      </c>
      <c r="O274" s="21" t="n">
        <v>16</v>
      </c>
      <c r="P274" s="22">
        <f>M274+N274+O274</f>
        <v/>
      </c>
      <c r="Q274" s="16" t="inlineStr">
        <is>
          <t>A11909161</t>
        </is>
      </c>
      <c r="R274" s="16" t="inlineStr"/>
      <c r="S274" s="16" t="inlineStr"/>
    </row>
    <row r="275">
      <c r="A275" s="15">
        <f>HYPERLINK("https://www.google.com/search?q=A11973979+Miami+MLS+listing", "A11973979")</f>
        <v/>
      </c>
      <c r="B275" s="16" t="inlineStr">
        <is>
          <t>9007 SW 38th St</t>
        </is>
      </c>
      <c r="C275" s="16" t="inlineStr">
        <is>
          <t>33165</t>
        </is>
      </c>
      <c r="D275" s="16" t="inlineStr">
        <is>
          <t>Miami-Dade County</t>
        </is>
      </c>
      <c r="E275" s="16" t="inlineStr">
        <is>
          <t>Duplex</t>
        </is>
      </c>
      <c r="F275" s="17" t="n">
        <v>2</v>
      </c>
      <c r="G275" s="18" t="n">
        <v>1149000</v>
      </c>
      <c r="H275" s="18" t="n">
        <v>6500</v>
      </c>
      <c r="I275" s="19">
        <f>H275/G275</f>
        <v/>
      </c>
      <c r="J275" s="18">
        <f>H275*(1-Assumptions!$B$4)</f>
        <v/>
      </c>
      <c r="K275" s="20">
        <f>PMT(Assumptions!$B$2/12, 360, -G275*(1-Assumptions!$B$3))</f>
        <v/>
      </c>
      <c r="L275" s="20">
        <f>J275+K275</f>
        <v/>
      </c>
      <c r="M275" s="21">
        <f>IF(I275&gt;=0.01,50,IF(I275&gt;=0.0095,37,IF(I275&gt;=0.009,25,12)))</f>
        <v/>
      </c>
      <c r="N275" s="21">
        <f>IF(L275&gt;=2000,30,IF(L275&gt;=1000,20,IF(L275&gt;=500,10,5)))</f>
        <v/>
      </c>
      <c r="O275" s="21" t="n">
        <v>16</v>
      </c>
      <c r="P275" s="22">
        <f>M275+N275+O275</f>
        <v/>
      </c>
      <c r="Q275" s="16" t="inlineStr">
        <is>
          <t>A11973979</t>
        </is>
      </c>
      <c r="R275" s="16" t="inlineStr"/>
      <c r="S275" s="16" t="inlineStr"/>
    </row>
    <row r="276">
      <c r="A276" s="15">
        <f>HYPERLINK("https://www.google.com/search?q=A11963859+Miami+MLS+listing", "A11963859")</f>
        <v/>
      </c>
      <c r="B276" s="16" t="inlineStr">
        <is>
          <t>26435 SW 138th Ct</t>
        </is>
      </c>
      <c r="C276" s="16" t="inlineStr">
        <is>
          <t>33032</t>
        </is>
      </c>
      <c r="D276" s="16" t="inlineStr">
        <is>
          <t>Miami-Dade County</t>
        </is>
      </c>
      <c r="E276" s="16" t="inlineStr">
        <is>
          <t>Duplex</t>
        </is>
      </c>
      <c r="F276" s="17" t="n">
        <v>2</v>
      </c>
      <c r="G276" s="18" t="n">
        <v>465000</v>
      </c>
      <c r="H276" s="18" t="n">
        <v>1000</v>
      </c>
      <c r="I276" s="19">
        <f>H276/G276</f>
        <v/>
      </c>
      <c r="J276" s="18">
        <f>H276*(1-Assumptions!$B$4)</f>
        <v/>
      </c>
      <c r="K276" s="20">
        <f>PMT(Assumptions!$B$2/12, 360, -G276*(1-Assumptions!$B$3))</f>
        <v/>
      </c>
      <c r="L276" s="20">
        <f>J276+K276</f>
        <v/>
      </c>
      <c r="M276" s="21">
        <f>IF(I276&gt;=0.01,50,IF(I276&gt;=0.0095,37,IF(I276&gt;=0.009,25,12)))</f>
        <v/>
      </c>
      <c r="N276" s="21">
        <f>IF(L276&gt;=2000,30,IF(L276&gt;=1000,20,IF(L276&gt;=500,10,5)))</f>
        <v/>
      </c>
      <c r="O276" s="21" t="n">
        <v>16</v>
      </c>
      <c r="P276" s="22">
        <f>M276+N276+O276</f>
        <v/>
      </c>
      <c r="Q276" s="16" t="inlineStr">
        <is>
          <t>A11963859</t>
        </is>
      </c>
      <c r="R276" s="16" t="inlineStr"/>
      <c r="S276" s="16" t="inlineStr"/>
    </row>
    <row r="277">
      <c r="A277" s="15">
        <f>HYPERLINK("https://www.google.com/search?q=A11882917+Miami+MLS+listing", "A11882917")</f>
        <v/>
      </c>
      <c r="B277" s="16" t="inlineStr">
        <is>
          <t>11220 SW 2nd St</t>
        </is>
      </c>
      <c r="C277" s="16" t="inlineStr">
        <is>
          <t>33174</t>
        </is>
      </c>
      <c r="D277" s="16" t="inlineStr">
        <is>
          <t>Miami-Dade County</t>
        </is>
      </c>
      <c r="E277" s="16" t="inlineStr">
        <is>
          <t>Duplex</t>
        </is>
      </c>
      <c r="F277" s="17" t="n">
        <v>2</v>
      </c>
      <c r="G277" s="18" t="n">
        <v>870000</v>
      </c>
      <c r="H277" s="18" t="n">
        <v>6800</v>
      </c>
      <c r="I277" s="19">
        <f>H277/G277</f>
        <v/>
      </c>
      <c r="J277" s="18">
        <f>H277*(1-Assumptions!$B$4)</f>
        <v/>
      </c>
      <c r="K277" s="20">
        <f>PMT(Assumptions!$B$2/12, 360, -G277*(1-Assumptions!$B$3))</f>
        <v/>
      </c>
      <c r="L277" s="20">
        <f>J277+K277</f>
        <v/>
      </c>
      <c r="M277" s="21">
        <f>IF(I277&gt;=0.01,50,IF(I277&gt;=0.0095,37,IF(I277&gt;=0.009,25,12)))</f>
        <v/>
      </c>
      <c r="N277" s="21">
        <f>IF(L277&gt;=2000,30,IF(L277&gt;=1000,20,IF(L277&gt;=500,10,5)))</f>
        <v/>
      </c>
      <c r="O277" s="21" t="n">
        <v>16</v>
      </c>
      <c r="P277" s="22">
        <f>M277+N277+O277</f>
        <v/>
      </c>
      <c r="Q277" s="16" t="inlineStr">
        <is>
          <t>A11882917</t>
        </is>
      </c>
      <c r="R277" s="16" t="inlineStr"/>
      <c r="S277" s="16" t="inlineStr"/>
    </row>
    <row r="278">
      <c r="A278" s="15">
        <f>HYPERLINK("https://www.google.com/search?q=A11949397+Miami+MLS+listing", "A11949397")</f>
        <v/>
      </c>
      <c r="B278" s="16" t="inlineStr">
        <is>
          <t>12047 12049 SW 213th St</t>
        </is>
      </c>
      <c r="C278" s="16" t="inlineStr">
        <is>
          <t>33177</t>
        </is>
      </c>
      <c r="D278" s="16" t="inlineStr">
        <is>
          <t>Miami-Dade County</t>
        </is>
      </c>
      <c r="E278" s="16" t="inlineStr">
        <is>
          <t>Duplex</t>
        </is>
      </c>
      <c r="F278" s="17" t="n">
        <v>2</v>
      </c>
      <c r="G278" s="18" t="n">
        <v>900000</v>
      </c>
      <c r="H278" s="18" t="n">
        <v>7400</v>
      </c>
      <c r="I278" s="19">
        <f>H278/G278</f>
        <v/>
      </c>
      <c r="J278" s="18">
        <f>H278*(1-Assumptions!$B$4)</f>
        <v/>
      </c>
      <c r="K278" s="20">
        <f>PMT(Assumptions!$B$2/12, 360, -G278*(1-Assumptions!$B$3))</f>
        <v/>
      </c>
      <c r="L278" s="20">
        <f>J278+K278</f>
        <v/>
      </c>
      <c r="M278" s="21">
        <f>IF(I278&gt;=0.01,50,IF(I278&gt;=0.0095,37,IF(I278&gt;=0.009,25,12)))</f>
        <v/>
      </c>
      <c r="N278" s="21">
        <f>IF(L278&gt;=2000,30,IF(L278&gt;=1000,20,IF(L278&gt;=500,10,5)))</f>
        <v/>
      </c>
      <c r="O278" s="21" t="n">
        <v>16</v>
      </c>
      <c r="P278" s="22">
        <f>M278+N278+O278</f>
        <v/>
      </c>
      <c r="Q278" s="16" t="inlineStr">
        <is>
          <t>A11949397</t>
        </is>
      </c>
      <c r="R278" s="16" t="inlineStr"/>
      <c r="S278" s="16" t="inlineStr"/>
    </row>
    <row r="279">
      <c r="A279" s="15">
        <f>HYPERLINK("https://www.google.com/search?q=A11969032+Miami+MLS+listing", "A11969032")</f>
        <v/>
      </c>
      <c r="B279" s="16" t="inlineStr">
        <is>
          <t>1112 SW 11th Ave</t>
        </is>
      </c>
      <c r="C279" s="16" t="inlineStr">
        <is>
          <t>33129</t>
        </is>
      </c>
      <c r="D279" s="16" t="inlineStr">
        <is>
          <t>Miami-Dade County</t>
        </is>
      </c>
      <c r="E279" s="16" t="inlineStr">
        <is>
          <t>Duplex</t>
        </is>
      </c>
      <c r="F279" s="17" t="n">
        <v>2</v>
      </c>
      <c r="G279" s="18" t="n">
        <v>1000000</v>
      </c>
      <c r="H279" s="18" t="n">
        <v>5400</v>
      </c>
      <c r="I279" s="19">
        <f>H279/G279</f>
        <v/>
      </c>
      <c r="J279" s="18">
        <f>H279*(1-Assumptions!$B$4)</f>
        <v/>
      </c>
      <c r="K279" s="20">
        <f>PMT(Assumptions!$B$2/12, 360, -G279*(1-Assumptions!$B$3))</f>
        <v/>
      </c>
      <c r="L279" s="20">
        <f>J279+K279</f>
        <v/>
      </c>
      <c r="M279" s="21">
        <f>IF(I279&gt;=0.01,50,IF(I279&gt;=0.0095,37,IF(I279&gt;=0.009,25,12)))</f>
        <v/>
      </c>
      <c r="N279" s="21">
        <f>IF(L279&gt;=2000,30,IF(L279&gt;=1000,20,IF(L279&gt;=500,10,5)))</f>
        <v/>
      </c>
      <c r="O279" s="21" t="n">
        <v>16</v>
      </c>
      <c r="P279" s="22">
        <f>M279+N279+O279</f>
        <v/>
      </c>
      <c r="Q279" s="16" t="inlineStr">
        <is>
          <t>A11969032</t>
        </is>
      </c>
      <c r="R279" s="16" t="inlineStr"/>
      <c r="S279" s="16" t="inlineStr"/>
    </row>
    <row r="280">
      <c r="A280" s="15">
        <f>HYPERLINK("https://www.google.com/search?q=A11928657+Miami+MLS+listing", "A11928657")</f>
        <v/>
      </c>
      <c r="B280" s="16" t="inlineStr">
        <is>
          <t>650 SW 44th Ct</t>
        </is>
      </c>
      <c r="C280" s="16" t="inlineStr">
        <is>
          <t>33134</t>
        </is>
      </c>
      <c r="D280" s="16" t="inlineStr">
        <is>
          <t>Miami-Dade County</t>
        </is>
      </c>
      <c r="E280" s="16" t="inlineStr">
        <is>
          <t>Duplex</t>
        </is>
      </c>
      <c r="F280" s="17" t="n">
        <v>2</v>
      </c>
      <c r="G280" s="18" t="n">
        <v>1600000</v>
      </c>
      <c r="H280" s="18" t="n">
        <v>7400</v>
      </c>
      <c r="I280" s="19">
        <f>H280/G280</f>
        <v/>
      </c>
      <c r="J280" s="18">
        <f>H280*(1-Assumptions!$B$4)</f>
        <v/>
      </c>
      <c r="K280" s="20">
        <f>PMT(Assumptions!$B$2/12, 360, -G280*(1-Assumptions!$B$3))</f>
        <v/>
      </c>
      <c r="L280" s="20">
        <f>J280+K280</f>
        <v/>
      </c>
      <c r="M280" s="21">
        <f>IF(I280&gt;=0.01,50,IF(I280&gt;=0.0095,37,IF(I280&gt;=0.009,25,12)))</f>
        <v/>
      </c>
      <c r="N280" s="21">
        <f>IF(L280&gt;=2000,30,IF(L280&gt;=1000,20,IF(L280&gt;=500,10,5)))</f>
        <v/>
      </c>
      <c r="O280" s="21" t="n">
        <v>16</v>
      </c>
      <c r="P280" s="22">
        <f>M280+N280+O280</f>
        <v/>
      </c>
      <c r="Q280" s="16" t="inlineStr">
        <is>
          <t>A11928657</t>
        </is>
      </c>
      <c r="R280" s="16" t="inlineStr"/>
      <c r="S280" s="16" t="inlineStr"/>
    </row>
    <row r="281">
      <c r="A281" s="15">
        <f>HYPERLINK("https://www.google.com/search?q=A11904949+Miami+MLS+listing", "A11904949")</f>
        <v/>
      </c>
      <c r="B281" s="16" t="inlineStr">
        <is>
          <t>401 Malaga Ave</t>
        </is>
      </c>
      <c r="C281" s="16" t="inlineStr">
        <is>
          <t>33134</t>
        </is>
      </c>
      <c r="D281" s="16" t="inlineStr">
        <is>
          <t>Miami-Dade County</t>
        </is>
      </c>
      <c r="E281" s="16" t="inlineStr">
        <is>
          <t>Duplex</t>
        </is>
      </c>
      <c r="F281" s="17" t="n">
        <v>2</v>
      </c>
      <c r="G281" s="18" t="n">
        <v>1699999</v>
      </c>
      <c r="H281" s="18" t="n">
        <v>7200</v>
      </c>
      <c r="I281" s="19">
        <f>H281/G281</f>
        <v/>
      </c>
      <c r="J281" s="18">
        <f>H281*(1-Assumptions!$B$4)</f>
        <v/>
      </c>
      <c r="K281" s="20">
        <f>PMT(Assumptions!$B$2/12, 360, -G281*(1-Assumptions!$B$3))</f>
        <v/>
      </c>
      <c r="L281" s="20">
        <f>J281+K281</f>
        <v/>
      </c>
      <c r="M281" s="21">
        <f>IF(I281&gt;=0.01,50,IF(I281&gt;=0.0095,37,IF(I281&gt;=0.009,25,12)))</f>
        <v/>
      </c>
      <c r="N281" s="21">
        <f>IF(L281&gt;=2000,30,IF(L281&gt;=1000,20,IF(L281&gt;=500,10,5)))</f>
        <v/>
      </c>
      <c r="O281" s="21" t="n">
        <v>16</v>
      </c>
      <c r="P281" s="22">
        <f>M281+N281+O281</f>
        <v/>
      </c>
      <c r="Q281" s="16" t="inlineStr">
        <is>
          <t>A11904949</t>
        </is>
      </c>
      <c r="R281" s="16" t="inlineStr"/>
      <c r="S281" s="16" t="inlineStr"/>
    </row>
    <row r="282">
      <c r="A282" s="15">
        <f>HYPERLINK("https://www.google.com/search?q=A11890018+Miami+MLS+listing", "A11890018")</f>
        <v/>
      </c>
      <c r="B282" s="16" t="inlineStr">
        <is>
          <t>2013 Washington Ave</t>
        </is>
      </c>
      <c r="C282" s="16" t="inlineStr">
        <is>
          <t>33054</t>
        </is>
      </c>
      <c r="D282" s="16" t="inlineStr">
        <is>
          <t>Miami-Dade County</t>
        </is>
      </c>
      <c r="E282" s="16" t="inlineStr">
        <is>
          <t>Fourplex</t>
        </is>
      </c>
      <c r="F282" s="17" t="n">
        <v>4</v>
      </c>
      <c r="G282" s="18" t="n">
        <v>695000</v>
      </c>
      <c r="H282" s="18" t="n">
        <v>5700</v>
      </c>
      <c r="I282" s="19">
        <f>H282/G282</f>
        <v/>
      </c>
      <c r="J282" s="18">
        <f>H282*(1-Assumptions!$B$4)</f>
        <v/>
      </c>
      <c r="K282" s="20">
        <f>PMT(Assumptions!$B$2/12, 360, -G282*(1-Assumptions!$B$3))</f>
        <v/>
      </c>
      <c r="L282" s="20">
        <f>J282+K282</f>
        <v/>
      </c>
      <c r="M282" s="21">
        <f>IF(I282&gt;=0.01,50,IF(I282&gt;=0.0095,37,IF(I282&gt;=0.009,25,12)))</f>
        <v/>
      </c>
      <c r="N282" s="21">
        <f>IF(L282&gt;=2000,30,IF(L282&gt;=1000,20,IF(L282&gt;=500,10,5)))</f>
        <v/>
      </c>
      <c r="O282" s="21" t="n">
        <v>16</v>
      </c>
      <c r="P282" s="22">
        <f>M282+N282+O282</f>
        <v/>
      </c>
      <c r="Q282" s="16" t="inlineStr">
        <is>
          <t>A11890018</t>
        </is>
      </c>
      <c r="R282" s="16" t="inlineStr"/>
      <c r="S282" s="16" t="inlineStr"/>
    </row>
    <row r="283">
      <c r="A283" s="15">
        <f>HYPERLINK("https://www.google.com/search?q=A11961518+Miami+MLS+listing", "A11961518")</f>
        <v/>
      </c>
      <c r="B283" s="16" t="inlineStr">
        <is>
          <t>3297 SW 26th St</t>
        </is>
      </c>
      <c r="C283" s="16" t="inlineStr">
        <is>
          <t>33133</t>
        </is>
      </c>
      <c r="D283" s="16" t="inlineStr">
        <is>
          <t>Miami-Dade County</t>
        </is>
      </c>
      <c r="E283" s="16" t="inlineStr">
        <is>
          <t>Duplex</t>
        </is>
      </c>
      <c r="F283" s="17" t="n">
        <v>2</v>
      </c>
      <c r="G283" s="18" t="n">
        <v>1176000</v>
      </c>
      <c r="H283" s="18" t="n">
        <v>6700</v>
      </c>
      <c r="I283" s="19">
        <f>H283/G283</f>
        <v/>
      </c>
      <c r="J283" s="18">
        <f>H283*(1-Assumptions!$B$4)</f>
        <v/>
      </c>
      <c r="K283" s="20">
        <f>PMT(Assumptions!$B$2/12, 360, -G283*(1-Assumptions!$B$3))</f>
        <v/>
      </c>
      <c r="L283" s="20">
        <f>J283+K283</f>
        <v/>
      </c>
      <c r="M283" s="21">
        <f>IF(I283&gt;=0.01,50,IF(I283&gt;=0.0095,37,IF(I283&gt;=0.009,25,12)))</f>
        <v/>
      </c>
      <c r="N283" s="21">
        <f>IF(L283&gt;=2000,30,IF(L283&gt;=1000,20,IF(L283&gt;=500,10,5)))</f>
        <v/>
      </c>
      <c r="O283" s="21" t="n">
        <v>16</v>
      </c>
      <c r="P283" s="22">
        <f>M283+N283+O283</f>
        <v/>
      </c>
      <c r="Q283" s="16" t="inlineStr">
        <is>
          <t>A11961518</t>
        </is>
      </c>
      <c r="R283" s="16" t="inlineStr"/>
      <c r="S283" s="16" t="inlineStr"/>
    </row>
    <row r="284">
      <c r="A284" s="15">
        <f>HYPERLINK("https://www.google.com/search?q=A11564034+Miami+MLS+listing", "A11564034")</f>
        <v/>
      </c>
      <c r="B284" s="16" t="inlineStr">
        <is>
          <t>662 E 21st St</t>
        </is>
      </c>
      <c r="C284" s="16" t="inlineStr">
        <is>
          <t>33013</t>
        </is>
      </c>
      <c r="D284" s="16" t="inlineStr">
        <is>
          <t>Miami-Dade County</t>
        </is>
      </c>
      <c r="E284" s="16" t="inlineStr">
        <is>
          <t>Duplex</t>
        </is>
      </c>
      <c r="F284" s="17" t="n">
        <v>2</v>
      </c>
      <c r="G284" s="18" t="n">
        <v>785000</v>
      </c>
      <c r="H284" s="18" t="n">
        <v>5400</v>
      </c>
      <c r="I284" s="19">
        <f>H284/G284</f>
        <v/>
      </c>
      <c r="J284" s="18">
        <f>H284*(1-Assumptions!$B$4)</f>
        <v/>
      </c>
      <c r="K284" s="20">
        <f>PMT(Assumptions!$B$2/12, 360, -G284*(1-Assumptions!$B$3))</f>
        <v/>
      </c>
      <c r="L284" s="20">
        <f>J284+K284</f>
        <v/>
      </c>
      <c r="M284" s="21">
        <f>IF(I284&gt;=0.01,50,IF(I284&gt;=0.0095,37,IF(I284&gt;=0.009,25,12)))</f>
        <v/>
      </c>
      <c r="N284" s="21">
        <f>IF(L284&gt;=2000,30,IF(L284&gt;=1000,20,IF(L284&gt;=500,10,5)))</f>
        <v/>
      </c>
      <c r="O284" s="21" t="n">
        <v>16</v>
      </c>
      <c r="P284" s="22">
        <f>M284+N284+O284</f>
        <v/>
      </c>
      <c r="Q284" s="16" t="inlineStr">
        <is>
          <t>A11564034</t>
        </is>
      </c>
      <c r="R284" s="16" t="inlineStr"/>
      <c r="S284" s="16" t="inlineStr"/>
    </row>
    <row r="285">
      <c r="A285" s="15">
        <f>HYPERLINK("https://www.google.com/search?q=A11957075+Miami+MLS+listing", "A11957075")</f>
        <v/>
      </c>
      <c r="B285" s="16" t="inlineStr">
        <is>
          <t>1478 NW 2nd Ave</t>
        </is>
      </c>
      <c r="C285" s="16" t="inlineStr">
        <is>
          <t>33034</t>
        </is>
      </c>
      <c r="D285" s="16" t="inlineStr">
        <is>
          <t>Miami-Dade County</t>
        </is>
      </c>
      <c r="E285" s="16" t="inlineStr">
        <is>
          <t>Fourplex</t>
        </is>
      </c>
      <c r="F285" s="17" t="n">
        <v>4</v>
      </c>
      <c r="G285" s="18" t="n">
        <v>699000</v>
      </c>
      <c r="H285" s="18" t="n">
        <v>5200</v>
      </c>
      <c r="I285" s="19">
        <f>H285/G285</f>
        <v/>
      </c>
      <c r="J285" s="18">
        <f>H285*(1-Assumptions!$B$4)</f>
        <v/>
      </c>
      <c r="K285" s="20">
        <f>PMT(Assumptions!$B$2/12, 360, -G285*(1-Assumptions!$B$3))</f>
        <v/>
      </c>
      <c r="L285" s="20">
        <f>J285+K285</f>
        <v/>
      </c>
      <c r="M285" s="21">
        <f>IF(I285&gt;=0.01,50,IF(I285&gt;=0.0095,37,IF(I285&gt;=0.009,25,12)))</f>
        <v/>
      </c>
      <c r="N285" s="21">
        <f>IF(L285&gt;=2000,30,IF(L285&gt;=1000,20,IF(L285&gt;=500,10,5)))</f>
        <v/>
      </c>
      <c r="O285" s="21" t="n">
        <v>16</v>
      </c>
      <c r="P285" s="22">
        <f>M285+N285+O285</f>
        <v/>
      </c>
      <c r="Q285" s="16" t="inlineStr">
        <is>
          <t>A11957075</t>
        </is>
      </c>
      <c r="R285" s="16" t="inlineStr"/>
      <c r="S285" s="16" t="inlineStr"/>
    </row>
    <row r="286">
      <c r="A286" s="15">
        <f>HYPERLINK("https://www.google.com/search?q=A11907999+Miami+MLS+listing", "A11907999")</f>
        <v/>
      </c>
      <c r="B286" s="16" t="inlineStr">
        <is>
          <t>1452-1458 NW 1st Court</t>
        </is>
      </c>
      <c r="C286" s="16" t="inlineStr">
        <is>
          <t>33034</t>
        </is>
      </c>
      <c r="D286" s="16" t="inlineStr">
        <is>
          <t>Miami-Dade County</t>
        </is>
      </c>
      <c r="E286" s="16" t="inlineStr">
        <is>
          <t>Duplex</t>
        </is>
      </c>
      <c r="F286" s="17" t="n">
        <v>2</v>
      </c>
      <c r="G286" s="18" t="n">
        <v>709000</v>
      </c>
      <c r="H286" s="18" t="n">
        <v>5200</v>
      </c>
      <c r="I286" s="19">
        <f>H286/G286</f>
        <v/>
      </c>
      <c r="J286" s="18">
        <f>H286*(1-Assumptions!$B$4)</f>
        <v/>
      </c>
      <c r="K286" s="20">
        <f>PMT(Assumptions!$B$2/12, 360, -G286*(1-Assumptions!$B$3))</f>
        <v/>
      </c>
      <c r="L286" s="20">
        <f>J286+K286</f>
        <v/>
      </c>
      <c r="M286" s="21">
        <f>IF(I286&gt;=0.01,50,IF(I286&gt;=0.0095,37,IF(I286&gt;=0.009,25,12)))</f>
        <v/>
      </c>
      <c r="N286" s="21">
        <f>IF(L286&gt;=2000,30,IF(L286&gt;=1000,20,IF(L286&gt;=500,10,5)))</f>
        <v/>
      </c>
      <c r="O286" s="21" t="n">
        <v>16</v>
      </c>
      <c r="P286" s="22">
        <f>M286+N286+O286</f>
        <v/>
      </c>
      <c r="Q286" s="16" t="inlineStr">
        <is>
          <t>A11907999</t>
        </is>
      </c>
      <c r="R286" s="16" t="inlineStr"/>
      <c r="S286" s="16" t="inlineStr"/>
    </row>
    <row r="287">
      <c r="A287" s="15">
        <f>HYPERLINK("https://www.google.com/search?q=A11775321+Miami+MLS+listing", "A11775321")</f>
        <v/>
      </c>
      <c r="B287" s="16" t="inlineStr">
        <is>
          <t>1704 S Le Jeune Rd</t>
        </is>
      </c>
      <c r="C287" s="16" t="inlineStr">
        <is>
          <t>33134</t>
        </is>
      </c>
      <c r="D287" s="16" t="inlineStr">
        <is>
          <t>Miami-Dade County</t>
        </is>
      </c>
      <c r="E287" s="16" t="inlineStr">
        <is>
          <t>Duplex</t>
        </is>
      </c>
      <c r="F287" s="17" t="n">
        <v>2</v>
      </c>
      <c r="G287" s="18" t="n">
        <v>1299000</v>
      </c>
      <c r="H287" s="18" t="n">
        <v>7300</v>
      </c>
      <c r="I287" s="19">
        <f>H287/G287</f>
        <v/>
      </c>
      <c r="J287" s="18">
        <f>H287*(1-Assumptions!$B$4)</f>
        <v/>
      </c>
      <c r="K287" s="20">
        <f>PMT(Assumptions!$B$2/12, 360, -G287*(1-Assumptions!$B$3))</f>
        <v/>
      </c>
      <c r="L287" s="20">
        <f>J287+K287</f>
        <v/>
      </c>
      <c r="M287" s="21">
        <f>IF(I287&gt;=0.01,50,IF(I287&gt;=0.0095,37,IF(I287&gt;=0.009,25,12)))</f>
        <v/>
      </c>
      <c r="N287" s="21">
        <f>IF(L287&gt;=2000,30,IF(L287&gt;=1000,20,IF(L287&gt;=500,10,5)))</f>
        <v/>
      </c>
      <c r="O287" s="21" t="n">
        <v>16</v>
      </c>
      <c r="P287" s="22">
        <f>M287+N287+O287</f>
        <v/>
      </c>
      <c r="Q287" s="16" t="inlineStr">
        <is>
          <t>A11775321</t>
        </is>
      </c>
      <c r="R287" s="16" t="inlineStr"/>
      <c r="S287" s="16" t="inlineStr"/>
    </row>
    <row r="288">
      <c r="A288" s="15">
        <f>HYPERLINK("https://www.google.com/search?q=A11708385+Miami+MLS+listing", "A11708385")</f>
        <v/>
      </c>
      <c r="B288" s="16" t="inlineStr">
        <is>
          <t>11970-11972 SW 213 St</t>
        </is>
      </c>
      <c r="C288" s="16" t="inlineStr">
        <is>
          <t>33177</t>
        </is>
      </c>
      <c r="D288" s="16" t="inlineStr">
        <is>
          <t>Miami-Dade County</t>
        </is>
      </c>
      <c r="E288" s="16" t="inlineStr">
        <is>
          <t>Duplex</t>
        </is>
      </c>
      <c r="F288" s="17" t="n">
        <v>2</v>
      </c>
      <c r="G288" s="18" t="n">
        <v>949900</v>
      </c>
      <c r="H288" s="18" t="n">
        <v>6450</v>
      </c>
      <c r="I288" s="19">
        <f>H288/G288</f>
        <v/>
      </c>
      <c r="J288" s="18">
        <f>H288*(1-Assumptions!$B$4)</f>
        <v/>
      </c>
      <c r="K288" s="20">
        <f>PMT(Assumptions!$B$2/12, 360, -G288*(1-Assumptions!$B$3))</f>
        <v/>
      </c>
      <c r="L288" s="20">
        <f>J288+K288</f>
        <v/>
      </c>
      <c r="M288" s="21">
        <f>IF(I288&gt;=0.01,50,IF(I288&gt;=0.0095,37,IF(I288&gt;=0.009,25,12)))</f>
        <v/>
      </c>
      <c r="N288" s="21">
        <f>IF(L288&gt;=2000,30,IF(L288&gt;=1000,20,IF(L288&gt;=500,10,5)))</f>
        <v/>
      </c>
      <c r="O288" s="21" t="n">
        <v>16</v>
      </c>
      <c r="P288" s="22">
        <f>M288+N288+O288</f>
        <v/>
      </c>
      <c r="Q288" s="16" t="inlineStr">
        <is>
          <t>A11708385</t>
        </is>
      </c>
      <c r="R288" s="16" t="inlineStr"/>
      <c r="S288" s="16" t="inlineStr"/>
    </row>
    <row r="289">
      <c r="A289" s="15">
        <f>HYPERLINK("https://www.google.com/search?q=A11894418+Miami+MLS+listing", "A11894418")</f>
        <v/>
      </c>
      <c r="B289" s="16" t="inlineStr">
        <is>
          <t>13 NW 108th Ct</t>
        </is>
      </c>
      <c r="C289" s="16" t="inlineStr">
        <is>
          <t>33172</t>
        </is>
      </c>
      <c r="D289" s="16" t="inlineStr">
        <is>
          <t>Miami-Dade County</t>
        </is>
      </c>
      <c r="E289" s="16" t="inlineStr">
        <is>
          <t>Fourplex</t>
        </is>
      </c>
      <c r="F289" s="17" t="n">
        <v>4</v>
      </c>
      <c r="G289" s="18" t="n">
        <v>899900</v>
      </c>
      <c r="H289" s="18" t="n">
        <v>7350</v>
      </c>
      <c r="I289" s="19">
        <f>H289/G289</f>
        <v/>
      </c>
      <c r="J289" s="18">
        <f>H289*(1-Assumptions!$B$4)</f>
        <v/>
      </c>
      <c r="K289" s="20">
        <f>PMT(Assumptions!$B$2/12, 360, -G289*(1-Assumptions!$B$3))</f>
        <v/>
      </c>
      <c r="L289" s="20">
        <f>J289+K289</f>
        <v/>
      </c>
      <c r="M289" s="21">
        <f>IF(I289&gt;=0.01,50,IF(I289&gt;=0.0095,37,IF(I289&gt;=0.009,25,12)))</f>
        <v/>
      </c>
      <c r="N289" s="21">
        <f>IF(L289&gt;=2000,30,IF(L289&gt;=1000,20,IF(L289&gt;=500,10,5)))</f>
        <v/>
      </c>
      <c r="O289" s="21" t="n">
        <v>16</v>
      </c>
      <c r="P289" s="22">
        <f>M289+N289+O289</f>
        <v/>
      </c>
      <c r="Q289" s="16" t="inlineStr">
        <is>
          <t>A11894418</t>
        </is>
      </c>
      <c r="R289" s="16" t="inlineStr"/>
      <c r="S289" s="16" t="inlineStr"/>
    </row>
    <row r="290">
      <c r="A290" s="15">
        <f>HYPERLINK("https://www.google.com/search?q=A11916839+Miami+MLS+listing", "A11916839")</f>
        <v/>
      </c>
      <c r="B290" s="16" t="inlineStr">
        <is>
          <t>854 N Krome Ave</t>
        </is>
      </c>
      <c r="C290" s="16" t="inlineStr">
        <is>
          <t>33030</t>
        </is>
      </c>
      <c r="D290" s="16" t="inlineStr">
        <is>
          <t>Miami-Dade County</t>
        </is>
      </c>
      <c r="E290" s="16" t="inlineStr">
        <is>
          <t>Fourplex</t>
        </is>
      </c>
      <c r="F290" s="17" t="n">
        <v>4</v>
      </c>
      <c r="G290" s="18" t="n">
        <v>9700000</v>
      </c>
      <c r="H290" s="18" t="n">
        <v>30843.39</v>
      </c>
      <c r="I290" s="19">
        <f>H290/G290</f>
        <v/>
      </c>
      <c r="J290" s="18">
        <f>H290*(1-Assumptions!$B$4)</f>
        <v/>
      </c>
      <c r="K290" s="20">
        <f>PMT(Assumptions!$B$2/12, 360, -G290*(1-Assumptions!$B$3))</f>
        <v/>
      </c>
      <c r="L290" s="20">
        <f>J290+K290</f>
        <v/>
      </c>
      <c r="M290" s="21">
        <f>IF(I290&gt;=0.01,50,IF(I290&gt;=0.0095,37,IF(I290&gt;=0.009,25,12)))</f>
        <v/>
      </c>
      <c r="N290" s="21">
        <f>IF(L290&gt;=2000,30,IF(L290&gt;=1000,20,IF(L290&gt;=500,10,5)))</f>
        <v/>
      </c>
      <c r="O290" s="21" t="n">
        <v>16</v>
      </c>
      <c r="P290" s="22">
        <f>M290+N290+O290</f>
        <v/>
      </c>
      <c r="Q290" s="16" t="inlineStr">
        <is>
          <t>A11916839</t>
        </is>
      </c>
      <c r="R290" s="16" t="inlineStr"/>
      <c r="S290" s="16" t="inlineStr"/>
    </row>
    <row r="291">
      <c r="A291" s="15">
        <f>HYPERLINK("https://www.google.com/search?q=A11882945+Miami+MLS+listing", "A11882945")</f>
        <v/>
      </c>
      <c r="B291" s="16" t="inlineStr">
        <is>
          <t>70 NE 186th Ter</t>
        </is>
      </c>
      <c r="C291" s="16" t="inlineStr">
        <is>
          <t>33179</t>
        </is>
      </c>
      <c r="D291" s="16" t="inlineStr">
        <is>
          <t>Miami-Dade County</t>
        </is>
      </c>
      <c r="E291" s="16" t="inlineStr">
        <is>
          <t>Duplex</t>
        </is>
      </c>
      <c r="F291" s="17" t="n">
        <v>2</v>
      </c>
      <c r="G291" s="18" t="n">
        <v>790000</v>
      </c>
      <c r="H291" s="18" t="n">
        <v>5600</v>
      </c>
      <c r="I291" s="19">
        <f>H291/G291</f>
        <v/>
      </c>
      <c r="J291" s="18">
        <f>H291*(1-Assumptions!$B$4)</f>
        <v/>
      </c>
      <c r="K291" s="20">
        <f>PMT(Assumptions!$B$2/12, 360, -G291*(1-Assumptions!$B$3))</f>
        <v/>
      </c>
      <c r="L291" s="20">
        <f>J291+K291</f>
        <v/>
      </c>
      <c r="M291" s="21">
        <f>IF(I291&gt;=0.01,50,IF(I291&gt;=0.0095,37,IF(I291&gt;=0.009,25,12)))</f>
        <v/>
      </c>
      <c r="N291" s="21">
        <f>IF(L291&gt;=2000,30,IF(L291&gt;=1000,20,IF(L291&gt;=500,10,5)))</f>
        <v/>
      </c>
      <c r="O291" s="21" t="n">
        <v>16</v>
      </c>
      <c r="P291" s="22">
        <f>M291+N291+O291</f>
        <v/>
      </c>
      <c r="Q291" s="16" t="inlineStr">
        <is>
          <t>A11882945</t>
        </is>
      </c>
      <c r="R291" s="16" t="inlineStr"/>
      <c r="S291" s="16" t="inlineStr"/>
    </row>
    <row r="292">
      <c r="A292" s="15">
        <f>HYPERLINK("https://www.google.com/search?q=A11894345+Miami+MLS+listing", "A11894345")</f>
        <v/>
      </c>
      <c r="B292" s="16" t="inlineStr">
        <is>
          <t>3721 SW 27th Ter</t>
        </is>
      </c>
      <c r="C292" s="16" t="inlineStr">
        <is>
          <t>33134</t>
        </is>
      </c>
      <c r="D292" s="16" t="inlineStr">
        <is>
          <t>Miami-Dade County</t>
        </is>
      </c>
      <c r="E292" s="16" t="inlineStr">
        <is>
          <t>Duplex</t>
        </is>
      </c>
      <c r="F292" s="17" t="n">
        <v>2</v>
      </c>
      <c r="G292" s="18" t="n">
        <v>1275000</v>
      </c>
      <c r="H292" s="18" t="n">
        <v>5300</v>
      </c>
      <c r="I292" s="19">
        <f>H292/G292</f>
        <v/>
      </c>
      <c r="J292" s="18">
        <f>H292*(1-Assumptions!$B$4)</f>
        <v/>
      </c>
      <c r="K292" s="20">
        <f>PMT(Assumptions!$B$2/12, 360, -G292*(1-Assumptions!$B$3))</f>
        <v/>
      </c>
      <c r="L292" s="20">
        <f>J292+K292</f>
        <v/>
      </c>
      <c r="M292" s="21">
        <f>IF(I292&gt;=0.01,50,IF(I292&gt;=0.0095,37,IF(I292&gt;=0.009,25,12)))</f>
        <v/>
      </c>
      <c r="N292" s="21">
        <f>IF(L292&gt;=2000,30,IF(L292&gt;=1000,20,IF(L292&gt;=500,10,5)))</f>
        <v/>
      </c>
      <c r="O292" s="21" t="n">
        <v>16</v>
      </c>
      <c r="P292" s="22">
        <f>M292+N292+O292</f>
        <v/>
      </c>
      <c r="Q292" s="16" t="inlineStr">
        <is>
          <t>A11894345</t>
        </is>
      </c>
      <c r="R292" s="16" t="inlineStr"/>
      <c r="S292" s="16" t="inlineStr"/>
    </row>
    <row r="293">
      <c r="A293" s="15">
        <f>HYPERLINK("https://www.google.com/search?q=A11904247+Miami+MLS+listing", "A11904247")</f>
        <v/>
      </c>
      <c r="B293" s="16" t="inlineStr">
        <is>
          <t>12040 SW 215th St</t>
        </is>
      </c>
      <c r="C293" s="16" t="inlineStr">
        <is>
          <t>33177</t>
        </is>
      </c>
      <c r="D293" s="16" t="inlineStr">
        <is>
          <t>Miami-Dade County</t>
        </is>
      </c>
      <c r="E293" s="16" t="inlineStr">
        <is>
          <t>Duplex</t>
        </is>
      </c>
      <c r="F293" s="17" t="n">
        <v>2</v>
      </c>
      <c r="G293" s="18" t="n">
        <v>839000</v>
      </c>
      <c r="H293" s="18" t="n">
        <v>1790</v>
      </c>
      <c r="I293" s="19">
        <f>H293/G293</f>
        <v/>
      </c>
      <c r="J293" s="18">
        <f>H293*(1-Assumptions!$B$4)</f>
        <v/>
      </c>
      <c r="K293" s="20">
        <f>PMT(Assumptions!$B$2/12, 360, -G293*(1-Assumptions!$B$3))</f>
        <v/>
      </c>
      <c r="L293" s="20">
        <f>J293+K293</f>
        <v/>
      </c>
      <c r="M293" s="21">
        <f>IF(I293&gt;=0.01,50,IF(I293&gt;=0.0095,37,IF(I293&gt;=0.009,25,12)))</f>
        <v/>
      </c>
      <c r="N293" s="21">
        <f>IF(L293&gt;=2000,30,IF(L293&gt;=1000,20,IF(L293&gt;=500,10,5)))</f>
        <v/>
      </c>
      <c r="O293" s="21" t="n">
        <v>16</v>
      </c>
      <c r="P293" s="22">
        <f>M293+N293+O293</f>
        <v/>
      </c>
      <c r="Q293" s="16" t="inlineStr">
        <is>
          <t>A11904247</t>
        </is>
      </c>
      <c r="R293" s="16" t="inlineStr"/>
      <c r="S293" s="16" t="inlineStr"/>
    </row>
    <row r="294">
      <c r="A294" s="15">
        <f>HYPERLINK("https://www.google.com/search?q=A11967595+Miami+MLS+listing", "A11967595")</f>
        <v/>
      </c>
      <c r="B294" s="16" t="inlineStr">
        <is>
          <t>673 NW 14</t>
        </is>
      </c>
      <c r="C294" s="16" t="inlineStr">
        <is>
          <t>33034</t>
        </is>
      </c>
      <c r="D294" s="16" t="inlineStr">
        <is>
          <t>Miami-Dade County</t>
        </is>
      </c>
      <c r="E294" s="16" t="inlineStr">
        <is>
          <t>Duplex</t>
        </is>
      </c>
      <c r="F294" s="17" t="n">
        <v>2</v>
      </c>
      <c r="G294" s="18" t="n">
        <v>750000</v>
      </c>
      <c r="H294" s="18" t="n">
        <v>5625</v>
      </c>
      <c r="I294" s="19">
        <f>H294/G294</f>
        <v/>
      </c>
      <c r="J294" s="18">
        <f>H294*(1-Assumptions!$B$4)</f>
        <v/>
      </c>
      <c r="K294" s="20">
        <f>PMT(Assumptions!$B$2/12, 360, -G294*(1-Assumptions!$B$3))</f>
        <v/>
      </c>
      <c r="L294" s="20">
        <f>J294+K294</f>
        <v/>
      </c>
      <c r="M294" s="21">
        <f>IF(I294&gt;=0.01,50,IF(I294&gt;=0.0095,37,IF(I294&gt;=0.009,25,12)))</f>
        <v/>
      </c>
      <c r="N294" s="21">
        <f>IF(L294&gt;=2000,30,IF(L294&gt;=1000,20,IF(L294&gt;=500,10,5)))</f>
        <v/>
      </c>
      <c r="O294" s="21" t="n">
        <v>16</v>
      </c>
      <c r="P294" s="22">
        <f>M294+N294+O294</f>
        <v/>
      </c>
      <c r="Q294" s="16" t="inlineStr">
        <is>
          <t>A11967595</t>
        </is>
      </c>
      <c r="R294" s="16" t="inlineStr"/>
      <c r="S294" s="16" t="inlineStr"/>
    </row>
    <row r="295">
      <c r="A295" s="15">
        <f>HYPERLINK("https://www.google.com/search?q=A11894707+Miami+MLS+listing", "A11894707")</f>
        <v/>
      </c>
      <c r="B295" s="16" t="inlineStr">
        <is>
          <t>2484 SW 25 ST</t>
        </is>
      </c>
      <c r="C295" s="16" t="inlineStr">
        <is>
          <t>33133</t>
        </is>
      </c>
      <c r="D295" s="16" t="inlineStr">
        <is>
          <t>Miami-Dade County</t>
        </is>
      </c>
      <c r="E295" s="16" t="inlineStr">
        <is>
          <t>Duplex</t>
        </is>
      </c>
      <c r="F295" s="17" t="n">
        <v>2</v>
      </c>
      <c r="G295" s="18" t="n">
        <v>1450000</v>
      </c>
      <c r="H295" s="18" t="n">
        <v>6800</v>
      </c>
      <c r="I295" s="19">
        <f>H295/G295</f>
        <v/>
      </c>
      <c r="J295" s="18">
        <f>H295*(1-Assumptions!$B$4)</f>
        <v/>
      </c>
      <c r="K295" s="20">
        <f>PMT(Assumptions!$B$2/12, 360, -G295*(1-Assumptions!$B$3))</f>
        <v/>
      </c>
      <c r="L295" s="20">
        <f>J295+K295</f>
        <v/>
      </c>
      <c r="M295" s="21">
        <f>IF(I295&gt;=0.01,50,IF(I295&gt;=0.0095,37,IF(I295&gt;=0.009,25,12)))</f>
        <v/>
      </c>
      <c r="N295" s="21">
        <f>IF(L295&gt;=2000,30,IF(L295&gt;=1000,20,IF(L295&gt;=500,10,5)))</f>
        <v/>
      </c>
      <c r="O295" s="21" t="n">
        <v>16</v>
      </c>
      <c r="P295" s="22">
        <f>M295+N295+O295</f>
        <v/>
      </c>
      <c r="Q295" s="16" t="inlineStr">
        <is>
          <t>A11894707</t>
        </is>
      </c>
      <c r="R295" s="16" t="inlineStr"/>
      <c r="S295" s="16" t="inlineStr"/>
    </row>
    <row r="296">
      <c r="A296" s="15">
        <f>HYPERLINK("https://www.google.com/search?q=A11898954+Miami+MLS+listing", "A11898954")</f>
        <v/>
      </c>
      <c r="B296" s="16" t="inlineStr">
        <is>
          <t>453 E 13th St</t>
        </is>
      </c>
      <c r="C296" s="16" t="inlineStr">
        <is>
          <t>33010</t>
        </is>
      </c>
      <c r="D296" s="16" t="inlineStr">
        <is>
          <t>Miami-Dade County</t>
        </is>
      </c>
      <c r="E296" s="16" t="inlineStr">
        <is>
          <t>Duplex</t>
        </is>
      </c>
      <c r="F296" s="17" t="n">
        <v>2</v>
      </c>
      <c r="G296" s="18" t="n">
        <v>795000</v>
      </c>
      <c r="H296" s="18" t="n">
        <v>5000</v>
      </c>
      <c r="I296" s="19">
        <f>H296/G296</f>
        <v/>
      </c>
      <c r="J296" s="18">
        <f>H296*(1-Assumptions!$B$4)</f>
        <v/>
      </c>
      <c r="K296" s="20">
        <f>PMT(Assumptions!$B$2/12, 360, -G296*(1-Assumptions!$B$3))</f>
        <v/>
      </c>
      <c r="L296" s="20">
        <f>J296+K296</f>
        <v/>
      </c>
      <c r="M296" s="21">
        <f>IF(I296&gt;=0.01,50,IF(I296&gt;=0.0095,37,IF(I296&gt;=0.009,25,12)))</f>
        <v/>
      </c>
      <c r="N296" s="21">
        <f>IF(L296&gt;=2000,30,IF(L296&gt;=1000,20,IF(L296&gt;=500,10,5)))</f>
        <v/>
      </c>
      <c r="O296" s="21" t="n">
        <v>16</v>
      </c>
      <c r="P296" s="22">
        <f>M296+N296+O296</f>
        <v/>
      </c>
      <c r="Q296" s="16" t="inlineStr">
        <is>
          <t>A11898954</t>
        </is>
      </c>
      <c r="R296" s="16" t="inlineStr"/>
      <c r="S296" s="16" t="inlineStr"/>
    </row>
    <row r="297">
      <c r="A297" s="15">
        <f>HYPERLINK("https://www.google.com/search?q=A11975615+Miami+MLS+listing", "A11975615")</f>
        <v/>
      </c>
      <c r="B297" s="16" t="inlineStr">
        <is>
          <t>15730 NW 38th Pl</t>
        </is>
      </c>
      <c r="C297" s="16" t="inlineStr">
        <is>
          <t>33054</t>
        </is>
      </c>
      <c r="D297" s="16" t="inlineStr">
        <is>
          <t>Miami-Dade County</t>
        </is>
      </c>
      <c r="E297" s="16" t="inlineStr">
        <is>
          <t>Duplex</t>
        </is>
      </c>
      <c r="F297" s="17" t="n">
        <v>2</v>
      </c>
      <c r="G297" s="18" t="n">
        <v>1200000</v>
      </c>
      <c r="H297" s="18" t="n">
        <v>7600</v>
      </c>
      <c r="I297" s="19">
        <f>H297/G297</f>
        <v/>
      </c>
      <c r="J297" s="18">
        <f>H297*(1-Assumptions!$B$4)</f>
        <v/>
      </c>
      <c r="K297" s="20">
        <f>PMT(Assumptions!$B$2/12, 360, -G297*(1-Assumptions!$B$3))</f>
        <v/>
      </c>
      <c r="L297" s="20">
        <f>J297+K297</f>
        <v/>
      </c>
      <c r="M297" s="21">
        <f>IF(I297&gt;=0.01,50,IF(I297&gt;=0.0095,37,IF(I297&gt;=0.009,25,12)))</f>
        <v/>
      </c>
      <c r="N297" s="21">
        <f>IF(L297&gt;=2000,30,IF(L297&gt;=1000,20,IF(L297&gt;=500,10,5)))</f>
        <v/>
      </c>
      <c r="O297" s="21" t="n">
        <v>16</v>
      </c>
      <c r="P297" s="22">
        <f>M297+N297+O297</f>
        <v/>
      </c>
      <c r="Q297" s="16" t="inlineStr">
        <is>
          <t>A11975615</t>
        </is>
      </c>
      <c r="R297" s="16" t="inlineStr"/>
      <c r="S297" s="16" t="inlineStr"/>
    </row>
    <row r="298">
      <c r="A298" s="15">
        <f>HYPERLINK("https://www.google.com/search?q=A11961802+Miami+MLS+listing", "A11961802")</f>
        <v/>
      </c>
      <c r="B298" s="16" t="inlineStr">
        <is>
          <t>1166 W 24th St</t>
        </is>
      </c>
      <c r="C298" s="16" t="inlineStr">
        <is>
          <t>33010</t>
        </is>
      </c>
      <c r="D298" s="16" t="inlineStr">
        <is>
          <t>Miami-Dade County</t>
        </is>
      </c>
      <c r="E298" s="16" t="inlineStr">
        <is>
          <t>Duplex</t>
        </is>
      </c>
      <c r="F298" s="17" t="n">
        <v>2</v>
      </c>
      <c r="G298" s="18" t="n">
        <v>850000</v>
      </c>
      <c r="H298" s="18" t="n">
        <v>1800</v>
      </c>
      <c r="I298" s="19">
        <f>H298/G298</f>
        <v/>
      </c>
      <c r="J298" s="18">
        <f>H298*(1-Assumptions!$B$4)</f>
        <v/>
      </c>
      <c r="K298" s="20">
        <f>PMT(Assumptions!$B$2/12, 360, -G298*(1-Assumptions!$B$3))</f>
        <v/>
      </c>
      <c r="L298" s="20">
        <f>J298+K298</f>
        <v/>
      </c>
      <c r="M298" s="21">
        <f>IF(I298&gt;=0.01,50,IF(I298&gt;=0.0095,37,IF(I298&gt;=0.009,25,12)))</f>
        <v/>
      </c>
      <c r="N298" s="21">
        <f>IF(L298&gt;=2000,30,IF(L298&gt;=1000,20,IF(L298&gt;=500,10,5)))</f>
        <v/>
      </c>
      <c r="O298" s="21" t="n">
        <v>16</v>
      </c>
      <c r="P298" s="22">
        <f>M298+N298+O298</f>
        <v/>
      </c>
      <c r="Q298" s="16" t="inlineStr">
        <is>
          <t>A11961802</t>
        </is>
      </c>
      <c r="R298" s="16" t="inlineStr"/>
      <c r="S298" s="16" t="inlineStr"/>
    </row>
    <row r="299">
      <c r="A299" s="15">
        <f>HYPERLINK("https://www.google.com/search?q=A11909052+Miami+MLS+listing", "A11909052")</f>
        <v/>
      </c>
      <c r="B299" s="16" t="inlineStr">
        <is>
          <t>520 SW Krome Ter</t>
        </is>
      </c>
      <c r="C299" s="16" t="inlineStr">
        <is>
          <t>33030</t>
        </is>
      </c>
      <c r="D299" s="16" t="inlineStr">
        <is>
          <t>Miami-Dade County</t>
        </is>
      </c>
      <c r="E299" s="16" t="inlineStr">
        <is>
          <t>Fourplex</t>
        </is>
      </c>
      <c r="F299" s="17" t="n">
        <v>4</v>
      </c>
      <c r="G299" s="18" t="n">
        <v>1550000</v>
      </c>
      <c r="H299" s="18" t="n">
        <v>7650</v>
      </c>
      <c r="I299" s="19">
        <f>H299/G299</f>
        <v/>
      </c>
      <c r="J299" s="18">
        <f>H299*(1-Assumptions!$B$4)</f>
        <v/>
      </c>
      <c r="K299" s="20">
        <f>PMT(Assumptions!$B$2/12, 360, -G299*(1-Assumptions!$B$3))</f>
        <v/>
      </c>
      <c r="L299" s="20">
        <f>J299+K299</f>
        <v/>
      </c>
      <c r="M299" s="21">
        <f>IF(I299&gt;=0.01,50,IF(I299&gt;=0.0095,37,IF(I299&gt;=0.009,25,12)))</f>
        <v/>
      </c>
      <c r="N299" s="21">
        <f>IF(L299&gt;=2000,30,IF(L299&gt;=1000,20,IF(L299&gt;=500,10,5)))</f>
        <v/>
      </c>
      <c r="O299" s="21" t="n">
        <v>16</v>
      </c>
      <c r="P299" s="22">
        <f>M299+N299+O299</f>
        <v/>
      </c>
      <c r="Q299" s="16" t="inlineStr">
        <is>
          <t>A11909052</t>
        </is>
      </c>
      <c r="R299" s="16" t="inlineStr"/>
      <c r="S299" s="16" t="inlineStr"/>
    </row>
    <row r="300">
      <c r="A300" s="15">
        <f>HYPERLINK("https://www.google.com/search?q=A11965913+Miami+MLS+listing", "A11965913")</f>
        <v/>
      </c>
      <c r="B300" s="16" t="inlineStr">
        <is>
          <t>11815 SW 213th St</t>
        </is>
      </c>
      <c r="C300" s="16" t="inlineStr">
        <is>
          <t>33177</t>
        </is>
      </c>
      <c r="D300" s="16" t="inlineStr">
        <is>
          <t>Miami-Dade County</t>
        </is>
      </c>
      <c r="E300" s="16" t="inlineStr">
        <is>
          <t>Duplex</t>
        </is>
      </c>
      <c r="F300" s="17" t="n">
        <v>2</v>
      </c>
      <c r="G300" s="18" t="n">
        <v>449900</v>
      </c>
      <c r="H300" s="18" t="n">
        <v>1000</v>
      </c>
      <c r="I300" s="19">
        <f>H300/G300</f>
        <v/>
      </c>
      <c r="J300" s="18">
        <f>H300*(1-Assumptions!$B$4)</f>
        <v/>
      </c>
      <c r="K300" s="20">
        <f>PMT(Assumptions!$B$2/12, 360, -G300*(1-Assumptions!$B$3))</f>
        <v/>
      </c>
      <c r="L300" s="20">
        <f>J300+K300</f>
        <v/>
      </c>
      <c r="M300" s="21">
        <f>IF(I300&gt;=0.01,50,IF(I300&gt;=0.0095,37,IF(I300&gt;=0.009,25,12)))</f>
        <v/>
      </c>
      <c r="N300" s="21">
        <f>IF(L300&gt;=2000,30,IF(L300&gt;=1000,20,IF(L300&gt;=500,10,5)))</f>
        <v/>
      </c>
      <c r="O300" s="21" t="n">
        <v>16</v>
      </c>
      <c r="P300" s="22">
        <f>M300+N300+O300</f>
        <v/>
      </c>
      <c r="Q300" s="16" t="inlineStr">
        <is>
          <t>A11965913</t>
        </is>
      </c>
      <c r="R300" s="16" t="inlineStr"/>
      <c r="S300" s="16" t="inlineStr"/>
    </row>
    <row r="301">
      <c r="A301" s="15">
        <f>HYPERLINK("https://www.google.com/search?q=A11954409+Miami+MLS+listing", "A11954409")</f>
        <v/>
      </c>
      <c r="B301" s="16" t="inlineStr">
        <is>
          <t>13130 Aswan Rd</t>
        </is>
      </c>
      <c r="C301" s="16" t="inlineStr">
        <is>
          <t>33054</t>
        </is>
      </c>
      <c r="D301" s="16" t="inlineStr">
        <is>
          <t>Miami-Dade County</t>
        </is>
      </c>
      <c r="E301" s="16" t="inlineStr">
        <is>
          <t>Fourplex</t>
        </is>
      </c>
      <c r="F301" s="17" t="n">
        <v>4</v>
      </c>
      <c r="G301" s="18" t="n">
        <v>710000</v>
      </c>
      <c r="H301" s="18" t="n">
        <v>5500</v>
      </c>
      <c r="I301" s="19">
        <f>H301/G301</f>
        <v/>
      </c>
      <c r="J301" s="18">
        <f>H301*(1-Assumptions!$B$4)</f>
        <v/>
      </c>
      <c r="K301" s="20">
        <f>PMT(Assumptions!$B$2/12, 360, -G301*(1-Assumptions!$B$3))</f>
        <v/>
      </c>
      <c r="L301" s="20">
        <f>J301+K301</f>
        <v/>
      </c>
      <c r="M301" s="21">
        <f>IF(I301&gt;=0.01,50,IF(I301&gt;=0.0095,37,IF(I301&gt;=0.009,25,12)))</f>
        <v/>
      </c>
      <c r="N301" s="21">
        <f>IF(L301&gt;=2000,30,IF(L301&gt;=1000,20,IF(L301&gt;=500,10,5)))</f>
        <v/>
      </c>
      <c r="O301" s="21" t="n">
        <v>16</v>
      </c>
      <c r="P301" s="22">
        <f>M301+N301+O301</f>
        <v/>
      </c>
      <c r="Q301" s="16" t="inlineStr">
        <is>
          <t>A11954409</t>
        </is>
      </c>
      <c r="R301" s="16" t="inlineStr"/>
      <c r="S301" s="16" t="inlineStr"/>
    </row>
    <row r="302">
      <c r="A302" s="15">
        <f>HYPERLINK("https://www.google.com/search?q=A11919028+Miami+MLS+listing", "A11919028")</f>
        <v/>
      </c>
      <c r="B302" s="16" t="inlineStr">
        <is>
          <t>11136 SW 5th St</t>
        </is>
      </c>
      <c r="C302" s="16" t="inlineStr">
        <is>
          <t>33174</t>
        </is>
      </c>
      <c r="D302" s="16" t="inlineStr">
        <is>
          <t>Miami-Dade County</t>
        </is>
      </c>
      <c r="E302" s="16" t="inlineStr">
        <is>
          <t>Duplex</t>
        </is>
      </c>
      <c r="F302" s="17" t="n">
        <v>2</v>
      </c>
      <c r="G302" s="18" t="n">
        <v>741210</v>
      </c>
      <c r="H302" s="18" t="n">
        <v>5000</v>
      </c>
      <c r="I302" s="19">
        <f>H302/G302</f>
        <v/>
      </c>
      <c r="J302" s="18">
        <f>H302*(1-Assumptions!$B$4)</f>
        <v/>
      </c>
      <c r="K302" s="20">
        <f>PMT(Assumptions!$B$2/12, 360, -G302*(1-Assumptions!$B$3))</f>
        <v/>
      </c>
      <c r="L302" s="20">
        <f>J302+K302</f>
        <v/>
      </c>
      <c r="M302" s="21">
        <f>IF(I302&gt;=0.01,50,IF(I302&gt;=0.0095,37,IF(I302&gt;=0.009,25,12)))</f>
        <v/>
      </c>
      <c r="N302" s="21">
        <f>IF(L302&gt;=2000,30,IF(L302&gt;=1000,20,IF(L302&gt;=500,10,5)))</f>
        <v/>
      </c>
      <c r="O302" s="21" t="n">
        <v>16</v>
      </c>
      <c r="P302" s="22">
        <f>M302+N302+O302</f>
        <v/>
      </c>
      <c r="Q302" s="16" t="inlineStr">
        <is>
          <t>A11919028</t>
        </is>
      </c>
      <c r="R302" s="16" t="inlineStr"/>
      <c r="S302" s="16" t="inlineStr"/>
    </row>
    <row r="303">
      <c r="A303" s="15">
        <f>HYPERLINK("https://www.google.com/search?q=A11893594+Miami+MLS+listing", "A11893594")</f>
        <v/>
      </c>
      <c r="B303" s="16" t="inlineStr">
        <is>
          <t>8820 SW 27th St</t>
        </is>
      </c>
      <c r="C303" s="16" t="inlineStr">
        <is>
          <t>33165</t>
        </is>
      </c>
      <c r="D303" s="16" t="inlineStr">
        <is>
          <t>Miami-Dade County</t>
        </is>
      </c>
      <c r="E303" s="16" t="inlineStr">
        <is>
          <t>Duplex</t>
        </is>
      </c>
      <c r="F303" s="17" t="n">
        <v>2</v>
      </c>
      <c r="G303" s="18" t="n">
        <v>1075000</v>
      </c>
      <c r="H303" s="18" t="n">
        <v>5500</v>
      </c>
      <c r="I303" s="19">
        <f>H303/G303</f>
        <v/>
      </c>
      <c r="J303" s="18">
        <f>H303*(1-Assumptions!$B$4)</f>
        <v/>
      </c>
      <c r="K303" s="20">
        <f>PMT(Assumptions!$B$2/12, 360, -G303*(1-Assumptions!$B$3))</f>
        <v/>
      </c>
      <c r="L303" s="20">
        <f>J303+K303</f>
        <v/>
      </c>
      <c r="M303" s="21">
        <f>IF(I303&gt;=0.01,50,IF(I303&gt;=0.0095,37,IF(I303&gt;=0.009,25,12)))</f>
        <v/>
      </c>
      <c r="N303" s="21">
        <f>IF(L303&gt;=2000,30,IF(L303&gt;=1000,20,IF(L303&gt;=500,10,5)))</f>
        <v/>
      </c>
      <c r="O303" s="21" t="n">
        <v>16</v>
      </c>
      <c r="P303" s="22">
        <f>M303+N303+O303</f>
        <v/>
      </c>
      <c r="Q303" s="16" t="inlineStr">
        <is>
          <t>A11893594</t>
        </is>
      </c>
      <c r="R303" s="16" t="inlineStr"/>
      <c r="S303" s="16" t="inlineStr"/>
    </row>
    <row r="304">
      <c r="A304" s="15">
        <f>HYPERLINK("https://www.google.com/search?q=A11852709+Miami+MLS+listing", "A11852709")</f>
        <v/>
      </c>
      <c r="B304" s="16" t="inlineStr">
        <is>
          <t>9311 SW 37th St</t>
        </is>
      </c>
      <c r="C304" s="16" t="inlineStr">
        <is>
          <t>33165</t>
        </is>
      </c>
      <c r="D304" s="16" t="inlineStr">
        <is>
          <t>Miami-Dade County</t>
        </is>
      </c>
      <c r="E304" s="16" t="inlineStr">
        <is>
          <t>Duplex</t>
        </is>
      </c>
      <c r="F304" s="17" t="n">
        <v>2</v>
      </c>
      <c r="G304" s="18" t="n">
        <v>799000</v>
      </c>
      <c r="H304" s="18" t="n">
        <v>1000</v>
      </c>
      <c r="I304" s="19">
        <f>H304/G304</f>
        <v/>
      </c>
      <c r="J304" s="18">
        <f>H304*(1-Assumptions!$B$4)</f>
        <v/>
      </c>
      <c r="K304" s="20">
        <f>PMT(Assumptions!$B$2/12, 360, -G304*(1-Assumptions!$B$3))</f>
        <v/>
      </c>
      <c r="L304" s="20">
        <f>J304+K304</f>
        <v/>
      </c>
      <c r="M304" s="21">
        <f>IF(I304&gt;=0.01,50,IF(I304&gt;=0.0095,37,IF(I304&gt;=0.009,25,12)))</f>
        <v/>
      </c>
      <c r="N304" s="21">
        <f>IF(L304&gt;=2000,30,IF(L304&gt;=1000,20,IF(L304&gt;=500,10,5)))</f>
        <v/>
      </c>
      <c r="O304" s="21" t="n">
        <v>16</v>
      </c>
      <c r="P304" s="22">
        <f>M304+N304+O304</f>
        <v/>
      </c>
      <c r="Q304" s="16" t="inlineStr">
        <is>
          <t>A11852709</t>
        </is>
      </c>
      <c r="R304" s="16" t="inlineStr"/>
      <c r="S304" s="16" t="inlineStr"/>
    </row>
    <row r="305">
      <c r="A305" s="15">
        <f>HYPERLINK("https://www.google.com/search?q=A11903193+Miami+MLS+listing", "A11903193")</f>
        <v/>
      </c>
      <c r="B305" s="16" t="inlineStr">
        <is>
          <t>147 NE 9th St</t>
        </is>
      </c>
      <c r="C305" s="16" t="inlineStr">
        <is>
          <t>33030</t>
        </is>
      </c>
      <c r="D305" s="16" t="inlineStr">
        <is>
          <t>Miami-Dade County</t>
        </is>
      </c>
      <c r="E305" s="16" t="inlineStr">
        <is>
          <t>Triplex</t>
        </is>
      </c>
      <c r="F305" s="17" t="n">
        <v>3</v>
      </c>
      <c r="G305" s="18" t="n">
        <v>889990</v>
      </c>
      <c r="H305" s="18" t="n">
        <v>5000</v>
      </c>
      <c r="I305" s="19">
        <f>H305/G305</f>
        <v/>
      </c>
      <c r="J305" s="18">
        <f>H305*(1-Assumptions!$B$4)</f>
        <v/>
      </c>
      <c r="K305" s="20">
        <f>PMT(Assumptions!$B$2/12, 360, -G305*(1-Assumptions!$B$3))</f>
        <v/>
      </c>
      <c r="L305" s="20">
        <f>J305+K305</f>
        <v/>
      </c>
      <c r="M305" s="21">
        <f>IF(I305&gt;=0.01,50,IF(I305&gt;=0.0095,37,IF(I305&gt;=0.009,25,12)))</f>
        <v/>
      </c>
      <c r="N305" s="21">
        <f>IF(L305&gt;=2000,30,IF(L305&gt;=1000,20,IF(L305&gt;=500,10,5)))</f>
        <v/>
      </c>
      <c r="O305" s="21" t="n">
        <v>16</v>
      </c>
      <c r="P305" s="22">
        <f>M305+N305+O305</f>
        <v/>
      </c>
      <c r="Q305" s="16" t="inlineStr">
        <is>
          <t>A11903193</t>
        </is>
      </c>
      <c r="R305" s="16" t="inlineStr"/>
      <c r="S305" s="16" t="inlineStr"/>
    </row>
    <row r="306">
      <c r="A306" s="15">
        <f>HYPERLINK("https://www.google.com/search?q=A11968416+Miami+MLS+listing", "A11968416")</f>
        <v/>
      </c>
      <c r="B306" s="16" t="inlineStr">
        <is>
          <t>210 SW 3rd St</t>
        </is>
      </c>
      <c r="C306" s="16" t="inlineStr">
        <is>
          <t>33034</t>
        </is>
      </c>
      <c r="D306" s="16" t="inlineStr">
        <is>
          <t>Miami-Dade County</t>
        </is>
      </c>
      <c r="E306" s="16" t="inlineStr">
        <is>
          <t>Duplex</t>
        </is>
      </c>
      <c r="F306" s="17" t="n">
        <v>2</v>
      </c>
      <c r="G306" s="18" t="n">
        <v>730000</v>
      </c>
      <c r="H306" s="18" t="n">
        <v>5000</v>
      </c>
      <c r="I306" s="19">
        <f>H306/G306</f>
        <v/>
      </c>
      <c r="J306" s="18">
        <f>H306*(1-Assumptions!$B$4)</f>
        <v/>
      </c>
      <c r="K306" s="20">
        <f>PMT(Assumptions!$B$2/12, 360, -G306*(1-Assumptions!$B$3))</f>
        <v/>
      </c>
      <c r="L306" s="20">
        <f>J306+K306</f>
        <v/>
      </c>
      <c r="M306" s="21">
        <f>IF(I306&gt;=0.01,50,IF(I306&gt;=0.0095,37,IF(I306&gt;=0.009,25,12)))</f>
        <v/>
      </c>
      <c r="N306" s="21">
        <f>IF(L306&gt;=2000,30,IF(L306&gt;=1000,20,IF(L306&gt;=500,10,5)))</f>
        <v/>
      </c>
      <c r="O306" s="21" t="n">
        <v>16</v>
      </c>
      <c r="P306" s="22">
        <f>M306+N306+O306</f>
        <v/>
      </c>
      <c r="Q306" s="16" t="inlineStr">
        <is>
          <t>A11968416</t>
        </is>
      </c>
      <c r="R306" s="16" t="inlineStr"/>
      <c r="S306" s="16" t="inlineStr"/>
    </row>
    <row r="307">
      <c r="A307" s="15">
        <f>HYPERLINK("https://www.google.com/search?q=A11939066+Miami+MLS+listing", "A11939066")</f>
        <v/>
      </c>
      <c r="B307" s="16" t="inlineStr">
        <is>
          <t>13493 NW 8th Ave</t>
        </is>
      </c>
      <c r="C307" s="16" t="inlineStr">
        <is>
          <t>33168</t>
        </is>
      </c>
      <c r="D307" s="16" t="inlineStr">
        <is>
          <t>Miami-Dade County</t>
        </is>
      </c>
      <c r="E307" s="16" t="inlineStr">
        <is>
          <t>Duplex</t>
        </is>
      </c>
      <c r="F307" s="17" t="n">
        <v>2</v>
      </c>
      <c r="G307" s="18" t="n">
        <v>670000</v>
      </c>
      <c r="H307" s="18" t="n">
        <v>1900</v>
      </c>
      <c r="I307" s="19">
        <f>H307/G307</f>
        <v/>
      </c>
      <c r="J307" s="18">
        <f>H307*(1-Assumptions!$B$4)</f>
        <v/>
      </c>
      <c r="K307" s="20">
        <f>PMT(Assumptions!$B$2/12, 360, -G307*(1-Assumptions!$B$3))</f>
        <v/>
      </c>
      <c r="L307" s="20">
        <f>J307+K307</f>
        <v/>
      </c>
      <c r="M307" s="21">
        <f>IF(I307&gt;=0.01,50,IF(I307&gt;=0.0095,37,IF(I307&gt;=0.009,25,12)))</f>
        <v/>
      </c>
      <c r="N307" s="21">
        <f>IF(L307&gt;=2000,30,IF(L307&gt;=1000,20,IF(L307&gt;=500,10,5)))</f>
        <v/>
      </c>
      <c r="O307" s="21" t="n">
        <v>16</v>
      </c>
      <c r="P307" s="22">
        <f>M307+N307+O307</f>
        <v/>
      </c>
      <c r="Q307" s="16" t="inlineStr">
        <is>
          <t>A11939066</t>
        </is>
      </c>
      <c r="R307" s="16" t="inlineStr"/>
      <c r="S307" s="16" t="inlineStr"/>
    </row>
    <row r="308">
      <c r="A308" s="15">
        <f>HYPERLINK("https://www.google.com/search?q=A11968537+Miami+MLS+listing", "A11968537")</f>
        <v/>
      </c>
      <c r="B308" s="16" t="inlineStr">
        <is>
          <t>5 NE 16th Ct</t>
        </is>
      </c>
      <c r="C308" s="16" t="inlineStr">
        <is>
          <t>33305</t>
        </is>
      </c>
      <c r="D308" s="16" t="inlineStr">
        <is>
          <t>Broward County</t>
        </is>
      </c>
      <c r="E308" s="16" t="inlineStr">
        <is>
          <t>Duplex</t>
        </is>
      </c>
      <c r="F308" s="17" t="n">
        <v>2</v>
      </c>
      <c r="G308" s="18" t="n">
        <v>1020000</v>
      </c>
      <c r="H308" s="18" t="n">
        <v>6380</v>
      </c>
      <c r="I308" s="19">
        <f>H308/G308</f>
        <v/>
      </c>
      <c r="J308" s="18">
        <f>H308*(1-Assumptions!$B$4)</f>
        <v/>
      </c>
      <c r="K308" s="20">
        <f>PMT(Assumptions!$B$2/12, 360, -G308*(1-Assumptions!$B$3))</f>
        <v/>
      </c>
      <c r="L308" s="20">
        <f>J308+K308</f>
        <v/>
      </c>
      <c r="M308" s="21">
        <f>IF(I308&gt;=0.01,50,IF(I308&gt;=0.0095,37,IF(I308&gt;=0.009,25,12)))</f>
        <v/>
      </c>
      <c r="N308" s="21">
        <f>IF(L308&gt;=2000,30,IF(L308&gt;=1000,20,IF(L308&gt;=500,10,5)))</f>
        <v/>
      </c>
      <c r="O308" s="21" t="n">
        <v>13</v>
      </c>
      <c r="P308" s="22">
        <f>M308+N308+O308</f>
        <v/>
      </c>
      <c r="Q308" s="16" t="inlineStr">
        <is>
          <t>A11968537</t>
        </is>
      </c>
      <c r="R308" s="16" t="inlineStr"/>
      <c r="S308" s="16" t="inlineStr"/>
    </row>
    <row r="309">
      <c r="A309" s="15">
        <f>HYPERLINK("https://www.google.com/search?q=A11835324+Miami+MLS+listing", "A11835324")</f>
        <v/>
      </c>
      <c r="B309" s="16" t="inlineStr">
        <is>
          <t>1820 Funston St</t>
        </is>
      </c>
      <c r="C309" s="16" t="inlineStr">
        <is>
          <t>33020</t>
        </is>
      </c>
      <c r="D309" s="16" t="inlineStr">
        <is>
          <t>Broward County</t>
        </is>
      </c>
      <c r="E309" s="16" t="inlineStr">
        <is>
          <t>Fourplex</t>
        </is>
      </c>
      <c r="F309" s="17" t="n">
        <v>4</v>
      </c>
      <c r="G309" s="18" t="n">
        <v>1440000</v>
      </c>
      <c r="H309" s="18" t="n">
        <v>1300</v>
      </c>
      <c r="I309" s="19">
        <f>H309/G309</f>
        <v/>
      </c>
      <c r="J309" s="18">
        <f>H309*(1-Assumptions!$B$4)</f>
        <v/>
      </c>
      <c r="K309" s="20">
        <f>PMT(Assumptions!$B$2/12, 360, -G309*(1-Assumptions!$B$3))</f>
        <v/>
      </c>
      <c r="L309" s="20">
        <f>J309+K309</f>
        <v/>
      </c>
      <c r="M309" s="21">
        <f>IF(I309&gt;=0.01,50,IF(I309&gt;=0.0095,37,IF(I309&gt;=0.009,25,12)))</f>
        <v/>
      </c>
      <c r="N309" s="21">
        <f>IF(L309&gt;=2000,30,IF(L309&gt;=1000,20,IF(L309&gt;=500,10,5)))</f>
        <v/>
      </c>
      <c r="O309" s="21" t="n">
        <v>13</v>
      </c>
      <c r="P309" s="22">
        <f>M309+N309+O309</f>
        <v/>
      </c>
      <c r="Q309" s="16" t="inlineStr">
        <is>
          <t>A11835324</t>
        </is>
      </c>
      <c r="R309" s="16" t="inlineStr"/>
      <c r="S309" s="16" t="inlineStr"/>
    </row>
    <row r="310">
      <c r="A310" s="15">
        <f>HYPERLINK("https://www.google.com/search?q=A11933253+Miami+MLS+listing", "A11933253")</f>
        <v/>
      </c>
      <c r="B310" s="16" t="inlineStr">
        <is>
          <t>1927 Windsor Ave</t>
        </is>
      </c>
      <c r="C310" s="16" t="inlineStr">
        <is>
          <t>33407</t>
        </is>
      </c>
      <c r="D310" s="16" t="inlineStr">
        <is>
          <t>Palm Beach County</t>
        </is>
      </c>
      <c r="E310" s="16" t="inlineStr">
        <is>
          <t>Duplex</t>
        </is>
      </c>
      <c r="F310" s="17" t="n">
        <v>2</v>
      </c>
      <c r="G310" s="18" t="n">
        <v>390000</v>
      </c>
      <c r="H310" s="18" t="n">
        <v>3500</v>
      </c>
      <c r="I310" s="19">
        <f>H310/G310</f>
        <v/>
      </c>
      <c r="J310" s="18">
        <f>H310*(1-Assumptions!$B$4)</f>
        <v/>
      </c>
      <c r="K310" s="20">
        <f>PMT(Assumptions!$B$2/12, 360, -G310*(1-Assumptions!$B$3))</f>
        <v/>
      </c>
      <c r="L310" s="20">
        <f>J310+K310</f>
        <v/>
      </c>
      <c r="M310" s="21">
        <f>IF(I310&gt;=0.01,50,IF(I310&gt;=0.0095,37,IF(I310&gt;=0.009,25,12)))</f>
        <v/>
      </c>
      <c r="N310" s="21">
        <f>IF(L310&gt;=2000,30,IF(L310&gt;=1000,20,IF(L310&gt;=500,10,5)))</f>
        <v/>
      </c>
      <c r="O310" s="21" t="n">
        <v>13</v>
      </c>
      <c r="P310" s="22">
        <f>M310+N310+O310</f>
        <v/>
      </c>
      <c r="Q310" s="16" t="inlineStr">
        <is>
          <t>A11933253</t>
        </is>
      </c>
      <c r="R310" s="16" t="inlineStr"/>
      <c r="S310" s="16" t="inlineStr"/>
    </row>
    <row r="311">
      <c r="A311" s="15">
        <f>HYPERLINK("https://www.google.com/search?q=A11931907+Miami+MLS+listing", "A11931907")</f>
        <v/>
      </c>
      <c r="B311" s="16" t="inlineStr">
        <is>
          <t>215 W Blue Heron Blvd</t>
        </is>
      </c>
      <c r="C311" s="16" t="inlineStr">
        <is>
          <t>33404</t>
        </is>
      </c>
      <c r="D311" s="16" t="inlineStr">
        <is>
          <t>Palm Beach County</t>
        </is>
      </c>
      <c r="E311" s="16" t="inlineStr">
        <is>
          <t>Fourplex</t>
        </is>
      </c>
      <c r="F311" s="17" t="n">
        <v>4</v>
      </c>
      <c r="G311" s="18" t="n">
        <v>1995000</v>
      </c>
      <c r="H311" s="18" t="n">
        <v>9600</v>
      </c>
      <c r="I311" s="19">
        <f>H311/G311</f>
        <v/>
      </c>
      <c r="J311" s="18">
        <f>H311*(1-Assumptions!$B$4)</f>
        <v/>
      </c>
      <c r="K311" s="20">
        <f>PMT(Assumptions!$B$2/12, 360, -G311*(1-Assumptions!$B$3))</f>
        <v/>
      </c>
      <c r="L311" s="20">
        <f>J311+K311</f>
        <v/>
      </c>
      <c r="M311" s="21">
        <f>IF(I311&gt;=0.01,50,IF(I311&gt;=0.0095,37,IF(I311&gt;=0.009,25,12)))</f>
        <v/>
      </c>
      <c r="N311" s="21">
        <f>IF(L311&gt;=2000,30,IF(L311&gt;=1000,20,IF(L311&gt;=500,10,5)))</f>
        <v/>
      </c>
      <c r="O311" s="21" t="n">
        <v>13</v>
      </c>
      <c r="P311" s="22">
        <f>M311+N311+O311</f>
        <v/>
      </c>
      <c r="Q311" s="16" t="inlineStr">
        <is>
          <t>A11931907</t>
        </is>
      </c>
      <c r="R311" s="16" t="inlineStr"/>
      <c r="S311" s="16" t="inlineStr"/>
    </row>
    <row r="312">
      <c r="A312" s="15">
        <f>HYPERLINK("https://www.google.com/search?q=A11931632+Miami+MLS+listing", "A11931632")</f>
        <v/>
      </c>
      <c r="B312" s="16" t="inlineStr">
        <is>
          <t>3000 - 3002 SW 15th Ave</t>
        </is>
      </c>
      <c r="C312" s="16" t="inlineStr">
        <is>
          <t>33315</t>
        </is>
      </c>
      <c r="D312" s="16" t="inlineStr">
        <is>
          <t>Broward County</t>
        </is>
      </c>
      <c r="E312" s="16" t="inlineStr">
        <is>
          <t>Duplex</t>
        </is>
      </c>
      <c r="F312" s="17" t="n">
        <v>2</v>
      </c>
      <c r="G312" s="18" t="n">
        <v>524999</v>
      </c>
      <c r="H312" s="18" t="n">
        <v>3200</v>
      </c>
      <c r="I312" s="19">
        <f>H312/G312</f>
        <v/>
      </c>
      <c r="J312" s="18">
        <f>H312*(1-Assumptions!$B$4)</f>
        <v/>
      </c>
      <c r="K312" s="20">
        <f>PMT(Assumptions!$B$2/12, 360, -G312*(1-Assumptions!$B$3))</f>
        <v/>
      </c>
      <c r="L312" s="20">
        <f>J312+K312</f>
        <v/>
      </c>
      <c r="M312" s="21">
        <f>IF(I312&gt;=0.01,50,IF(I312&gt;=0.0095,37,IF(I312&gt;=0.009,25,12)))</f>
        <v/>
      </c>
      <c r="N312" s="21">
        <f>IF(L312&gt;=2000,30,IF(L312&gt;=1000,20,IF(L312&gt;=500,10,5)))</f>
        <v/>
      </c>
      <c r="O312" s="21" t="n">
        <v>13</v>
      </c>
      <c r="P312" s="22">
        <f>M312+N312+O312</f>
        <v/>
      </c>
      <c r="Q312" s="16" t="inlineStr">
        <is>
          <t>A11931632</t>
        </is>
      </c>
      <c r="R312" s="16" t="inlineStr"/>
      <c r="S312" s="16" t="inlineStr"/>
    </row>
    <row r="313">
      <c r="A313" s="15">
        <f>HYPERLINK("https://www.google.com/search?q=A11908616+Miami+MLS+listing", "A11908616")</f>
        <v/>
      </c>
      <c r="B313" s="16" t="inlineStr">
        <is>
          <t>5709 Lincoln St</t>
        </is>
      </c>
      <c r="C313" s="16" t="inlineStr">
        <is>
          <t>33021</t>
        </is>
      </c>
      <c r="D313" s="16" t="inlineStr">
        <is>
          <t>Broward County</t>
        </is>
      </c>
      <c r="E313" s="16" t="inlineStr">
        <is>
          <t>Duplex</t>
        </is>
      </c>
      <c r="F313" s="17" t="n">
        <v>2</v>
      </c>
      <c r="G313" s="18" t="n">
        <v>575000</v>
      </c>
      <c r="H313" s="18" t="n">
        <v>3200</v>
      </c>
      <c r="I313" s="19">
        <f>H313/G313</f>
        <v/>
      </c>
      <c r="J313" s="18">
        <f>H313*(1-Assumptions!$B$4)</f>
        <v/>
      </c>
      <c r="K313" s="20">
        <f>PMT(Assumptions!$B$2/12, 360, -G313*(1-Assumptions!$B$3))</f>
        <v/>
      </c>
      <c r="L313" s="20">
        <f>J313+K313</f>
        <v/>
      </c>
      <c r="M313" s="21">
        <f>IF(I313&gt;=0.01,50,IF(I313&gt;=0.0095,37,IF(I313&gt;=0.009,25,12)))</f>
        <v/>
      </c>
      <c r="N313" s="21">
        <f>IF(L313&gt;=2000,30,IF(L313&gt;=1000,20,IF(L313&gt;=500,10,5)))</f>
        <v/>
      </c>
      <c r="O313" s="21" t="n">
        <v>13</v>
      </c>
      <c r="P313" s="22">
        <f>M313+N313+O313</f>
        <v/>
      </c>
      <c r="Q313" s="16" t="inlineStr">
        <is>
          <t>A11908616</t>
        </is>
      </c>
      <c r="R313" s="16" t="inlineStr"/>
      <c r="S313" s="16" t="inlineStr"/>
    </row>
    <row r="314">
      <c r="A314" s="15">
        <f>HYPERLINK("https://www.google.com/search?q=A11948782+Miami+MLS+listing", "A11948782")</f>
        <v/>
      </c>
      <c r="B314" s="16" t="inlineStr">
        <is>
          <t>844 NW 18th Ave</t>
        </is>
      </c>
      <c r="C314" s="16" t="inlineStr">
        <is>
          <t>33311</t>
        </is>
      </c>
      <c r="D314" s="16" t="inlineStr">
        <is>
          <t>Broward County</t>
        </is>
      </c>
      <c r="E314" s="16" t="inlineStr">
        <is>
          <t>Duplex</t>
        </is>
      </c>
      <c r="F314" s="17" t="n">
        <v>2</v>
      </c>
      <c r="G314" s="18" t="n">
        <v>440000</v>
      </c>
      <c r="H314" s="18" t="n">
        <v>3150</v>
      </c>
      <c r="I314" s="19">
        <f>H314/G314</f>
        <v/>
      </c>
      <c r="J314" s="18">
        <f>H314*(1-Assumptions!$B$4)</f>
        <v/>
      </c>
      <c r="K314" s="20">
        <f>PMT(Assumptions!$B$2/12, 360, -G314*(1-Assumptions!$B$3))</f>
        <v/>
      </c>
      <c r="L314" s="20">
        <f>J314+K314</f>
        <v/>
      </c>
      <c r="M314" s="21">
        <f>IF(I314&gt;=0.01,50,IF(I314&gt;=0.0095,37,IF(I314&gt;=0.009,25,12)))</f>
        <v/>
      </c>
      <c r="N314" s="21">
        <f>IF(L314&gt;=2000,30,IF(L314&gt;=1000,20,IF(L314&gt;=500,10,5)))</f>
        <v/>
      </c>
      <c r="O314" s="21" t="n">
        <v>13</v>
      </c>
      <c r="P314" s="22">
        <f>M314+N314+O314</f>
        <v/>
      </c>
      <c r="Q314" s="16" t="inlineStr">
        <is>
          <t>A11948782</t>
        </is>
      </c>
      <c r="R314" s="16" t="inlineStr"/>
      <c r="S314" s="16" t="inlineStr"/>
    </row>
    <row r="315">
      <c r="A315" s="15">
        <f>HYPERLINK("https://www.google.com/search?q=A11936067+Miami+MLS+listing", "A11936067")</f>
        <v/>
      </c>
      <c r="B315" s="16" t="inlineStr">
        <is>
          <t>111 NW 7th Ave</t>
        </is>
      </c>
      <c r="C315" s="16" t="inlineStr">
        <is>
          <t>33004</t>
        </is>
      </c>
      <c r="D315" s="16" t="inlineStr">
        <is>
          <t>Broward County</t>
        </is>
      </c>
      <c r="E315" s="16" t="inlineStr">
        <is>
          <t>Triplex</t>
        </is>
      </c>
      <c r="F315" s="17" t="n">
        <v>3</v>
      </c>
      <c r="G315" s="18" t="n">
        <v>979990</v>
      </c>
      <c r="H315" s="18" t="n">
        <v>6900</v>
      </c>
      <c r="I315" s="19">
        <f>H315/G315</f>
        <v/>
      </c>
      <c r="J315" s="18">
        <f>H315*(1-Assumptions!$B$4)</f>
        <v/>
      </c>
      <c r="K315" s="20">
        <f>PMT(Assumptions!$B$2/12, 360, -G315*(1-Assumptions!$B$3))</f>
        <v/>
      </c>
      <c r="L315" s="20">
        <f>J315+K315</f>
        <v/>
      </c>
      <c r="M315" s="21">
        <f>IF(I315&gt;=0.01,50,IF(I315&gt;=0.0095,37,IF(I315&gt;=0.009,25,12)))</f>
        <v/>
      </c>
      <c r="N315" s="21">
        <f>IF(L315&gt;=2000,30,IF(L315&gt;=1000,20,IF(L315&gt;=500,10,5)))</f>
        <v/>
      </c>
      <c r="O315" s="21" t="n">
        <v>13</v>
      </c>
      <c r="P315" s="22">
        <f>M315+N315+O315</f>
        <v/>
      </c>
      <c r="Q315" s="16" t="inlineStr">
        <is>
          <t>A11936067</t>
        </is>
      </c>
      <c r="R315" s="16" t="inlineStr"/>
      <c r="S315" s="16" t="inlineStr"/>
    </row>
    <row r="316">
      <c r="A316" s="15">
        <f>HYPERLINK("https://www.google.com/search?q=A11943255+Miami+MLS+listing", "A11943255")</f>
        <v/>
      </c>
      <c r="B316" s="16" t="inlineStr">
        <is>
          <t>6141 SW 41st Ct</t>
        </is>
      </c>
      <c r="C316" s="16" t="inlineStr">
        <is>
          <t>33314</t>
        </is>
      </c>
      <c r="D316" s="16" t="inlineStr">
        <is>
          <t>Broward County</t>
        </is>
      </c>
      <c r="E316" s="16" t="inlineStr">
        <is>
          <t>Duplex</t>
        </is>
      </c>
      <c r="F316" s="17" t="n">
        <v>2</v>
      </c>
      <c r="G316" s="18" t="n">
        <v>559999</v>
      </c>
      <c r="H316" s="18" t="n">
        <v>3150</v>
      </c>
      <c r="I316" s="19">
        <f>H316/G316</f>
        <v/>
      </c>
      <c r="J316" s="18">
        <f>H316*(1-Assumptions!$B$4)</f>
        <v/>
      </c>
      <c r="K316" s="20">
        <f>PMT(Assumptions!$B$2/12, 360, -G316*(1-Assumptions!$B$3))</f>
        <v/>
      </c>
      <c r="L316" s="20">
        <f>J316+K316</f>
        <v/>
      </c>
      <c r="M316" s="21">
        <f>IF(I316&gt;=0.01,50,IF(I316&gt;=0.0095,37,IF(I316&gt;=0.009,25,12)))</f>
        <v/>
      </c>
      <c r="N316" s="21">
        <f>IF(L316&gt;=2000,30,IF(L316&gt;=1000,20,IF(L316&gt;=500,10,5)))</f>
        <v/>
      </c>
      <c r="O316" s="21" t="n">
        <v>13</v>
      </c>
      <c r="P316" s="22">
        <f>M316+N316+O316</f>
        <v/>
      </c>
      <c r="Q316" s="16" t="inlineStr">
        <is>
          <t>A11943255</t>
        </is>
      </c>
      <c r="R316" s="16" t="inlineStr"/>
      <c r="S316" s="16" t="inlineStr"/>
    </row>
    <row r="317">
      <c r="A317" s="15">
        <f>HYPERLINK("https://www.google.com/search?q=A11932605+Miami+MLS+listing", "A11932605")</f>
        <v/>
      </c>
      <c r="B317" s="16" t="inlineStr">
        <is>
          <t>722 SW 8th St</t>
        </is>
      </c>
      <c r="C317" s="16" t="inlineStr">
        <is>
          <t>33009</t>
        </is>
      </c>
      <c r="D317" s="16" t="inlineStr">
        <is>
          <t>Broward County</t>
        </is>
      </c>
      <c r="E317" s="16" t="inlineStr">
        <is>
          <t>Duplex</t>
        </is>
      </c>
      <c r="F317" s="17" t="n">
        <v>2</v>
      </c>
      <c r="G317" s="18" t="n">
        <v>625000</v>
      </c>
      <c r="H317" s="18" t="n">
        <v>3600</v>
      </c>
      <c r="I317" s="19">
        <f>H317/G317</f>
        <v/>
      </c>
      <c r="J317" s="18">
        <f>H317*(1-Assumptions!$B$4)</f>
        <v/>
      </c>
      <c r="K317" s="20">
        <f>PMT(Assumptions!$B$2/12, 360, -G317*(1-Assumptions!$B$3))</f>
        <v/>
      </c>
      <c r="L317" s="20">
        <f>J317+K317</f>
        <v/>
      </c>
      <c r="M317" s="21">
        <f>IF(I317&gt;=0.01,50,IF(I317&gt;=0.0095,37,IF(I317&gt;=0.009,25,12)))</f>
        <v/>
      </c>
      <c r="N317" s="21">
        <f>IF(L317&gt;=2000,30,IF(L317&gt;=1000,20,IF(L317&gt;=500,10,5)))</f>
        <v/>
      </c>
      <c r="O317" s="21" t="n">
        <v>13</v>
      </c>
      <c r="P317" s="22">
        <f>M317+N317+O317</f>
        <v/>
      </c>
      <c r="Q317" s="16" t="inlineStr">
        <is>
          <t>A11932605</t>
        </is>
      </c>
      <c r="R317" s="16" t="inlineStr"/>
      <c r="S317" s="16" t="inlineStr"/>
    </row>
    <row r="318">
      <c r="A318" s="15">
        <f>HYPERLINK("https://www.google.com/search?q=F10107394+Miami+MLS+listing", "F10107394")</f>
        <v/>
      </c>
      <c r="B318" s="16" t="inlineStr">
        <is>
          <t>500 E Sunrise Blvd</t>
        </is>
      </c>
      <c r="C318" s="16" t="inlineStr">
        <is>
          <t>33304</t>
        </is>
      </c>
      <c r="D318" s="16" t="inlineStr">
        <is>
          <t>Broward County</t>
        </is>
      </c>
      <c r="E318" s="16" t="inlineStr">
        <is>
          <t>Fourplex</t>
        </is>
      </c>
      <c r="F318" s="17" t="n">
        <v>4</v>
      </c>
      <c r="G318" s="18" t="n">
        <v>3500000</v>
      </c>
      <c r="H318" s="18" t="n">
        <v>10067</v>
      </c>
      <c r="I318" s="19">
        <f>H318/G318</f>
        <v/>
      </c>
      <c r="J318" s="18">
        <f>H318*(1-Assumptions!$B$4)</f>
        <v/>
      </c>
      <c r="K318" s="20">
        <f>PMT(Assumptions!$B$2/12, 360, -G318*(1-Assumptions!$B$3))</f>
        <v/>
      </c>
      <c r="L318" s="20">
        <f>J318+K318</f>
        <v/>
      </c>
      <c r="M318" s="21">
        <f>IF(I318&gt;=0.01,50,IF(I318&gt;=0.0095,37,IF(I318&gt;=0.009,25,12)))</f>
        <v/>
      </c>
      <c r="N318" s="21">
        <f>IF(L318&gt;=2000,30,IF(L318&gt;=1000,20,IF(L318&gt;=500,10,5)))</f>
        <v/>
      </c>
      <c r="O318" s="21" t="n">
        <v>13</v>
      </c>
      <c r="P318" s="22">
        <f>M318+N318+O318</f>
        <v/>
      </c>
      <c r="Q318" s="16" t="inlineStr">
        <is>
          <t>F10107394</t>
        </is>
      </c>
      <c r="R318" s="16" t="inlineStr"/>
      <c r="S318" s="16" t="inlineStr"/>
    </row>
    <row r="319">
      <c r="A319" s="15">
        <f>HYPERLINK("https://www.google.com/search?q=A11911798+Miami+MLS+listing", "A11911798")</f>
        <v/>
      </c>
      <c r="B319" s="16" t="inlineStr">
        <is>
          <t>823-825 NW 9TH ST</t>
        </is>
      </c>
      <c r="C319" s="16" t="inlineStr">
        <is>
          <t>33009</t>
        </is>
      </c>
      <c r="D319" s="16" t="inlineStr">
        <is>
          <t>Broward County</t>
        </is>
      </c>
      <c r="E319" s="16" t="inlineStr">
        <is>
          <t>Duplex</t>
        </is>
      </c>
      <c r="F319" s="17" t="n">
        <v>2</v>
      </c>
      <c r="G319" s="18" t="n">
        <v>479999</v>
      </c>
      <c r="H319" s="18" t="n">
        <v>3275</v>
      </c>
      <c r="I319" s="19">
        <f>H319/G319</f>
        <v/>
      </c>
      <c r="J319" s="18">
        <f>H319*(1-Assumptions!$B$4)</f>
        <v/>
      </c>
      <c r="K319" s="20">
        <f>PMT(Assumptions!$B$2/12, 360, -G319*(1-Assumptions!$B$3))</f>
        <v/>
      </c>
      <c r="L319" s="20">
        <f>J319+K319</f>
        <v/>
      </c>
      <c r="M319" s="21">
        <f>IF(I319&gt;=0.01,50,IF(I319&gt;=0.0095,37,IF(I319&gt;=0.009,25,12)))</f>
        <v/>
      </c>
      <c r="N319" s="21">
        <f>IF(L319&gt;=2000,30,IF(L319&gt;=1000,20,IF(L319&gt;=500,10,5)))</f>
        <v/>
      </c>
      <c r="O319" s="21" t="n">
        <v>13</v>
      </c>
      <c r="P319" s="22">
        <f>M319+N319+O319</f>
        <v/>
      </c>
      <c r="Q319" s="16" t="inlineStr">
        <is>
          <t>A11911798</t>
        </is>
      </c>
      <c r="R319" s="16" t="inlineStr"/>
      <c r="S319" s="16" t="inlineStr"/>
    </row>
    <row r="320">
      <c r="A320" s="15">
        <f>HYPERLINK("https://www.google.com/search?q=A11788236+Miami+MLS+listing", "A11788236")</f>
        <v/>
      </c>
      <c r="B320" s="16" t="inlineStr">
        <is>
          <t>313 SE 10th Ave</t>
        </is>
      </c>
      <c r="C320" s="16" t="inlineStr">
        <is>
          <t>33060</t>
        </is>
      </c>
      <c r="D320" s="16" t="inlineStr">
        <is>
          <t>Broward County</t>
        </is>
      </c>
      <c r="E320" s="16" t="inlineStr">
        <is>
          <t>Fourplex</t>
        </is>
      </c>
      <c r="F320" s="17" t="n">
        <v>4</v>
      </c>
      <c r="G320" s="18" t="n">
        <v>850000</v>
      </c>
      <c r="H320" s="18" t="n">
        <v>6250</v>
      </c>
      <c r="I320" s="19">
        <f>H320/G320</f>
        <v/>
      </c>
      <c r="J320" s="18">
        <f>H320*(1-Assumptions!$B$4)</f>
        <v/>
      </c>
      <c r="K320" s="20">
        <f>PMT(Assumptions!$B$2/12, 360, -G320*(1-Assumptions!$B$3))</f>
        <v/>
      </c>
      <c r="L320" s="20">
        <f>J320+K320</f>
        <v/>
      </c>
      <c r="M320" s="21">
        <f>IF(I320&gt;=0.01,50,IF(I320&gt;=0.0095,37,IF(I320&gt;=0.009,25,12)))</f>
        <v/>
      </c>
      <c r="N320" s="21">
        <f>IF(L320&gt;=2000,30,IF(L320&gt;=1000,20,IF(L320&gt;=500,10,5)))</f>
        <v/>
      </c>
      <c r="O320" s="21" t="n">
        <v>13</v>
      </c>
      <c r="P320" s="22">
        <f>M320+N320+O320</f>
        <v/>
      </c>
      <c r="Q320" s="16" t="inlineStr">
        <is>
          <t>A11788236</t>
        </is>
      </c>
      <c r="R320" s="16" t="inlineStr"/>
      <c r="S320" s="16" t="inlineStr"/>
    </row>
    <row r="321">
      <c r="A321" s="15">
        <f>HYPERLINK("https://www.google.com/search?q=A11796410+Miami+MLS+listing", "A11796410")</f>
        <v/>
      </c>
      <c r="B321" s="16" t="inlineStr">
        <is>
          <t>1464 Phippen Rd</t>
        </is>
      </c>
      <c r="C321" s="16" t="inlineStr">
        <is>
          <t>33004</t>
        </is>
      </c>
      <c r="D321" s="16" t="inlineStr">
        <is>
          <t>Broward County</t>
        </is>
      </c>
      <c r="E321" s="16" t="inlineStr">
        <is>
          <t>Triplex</t>
        </is>
      </c>
      <c r="F321" s="17" t="n">
        <v>3</v>
      </c>
      <c r="G321" s="18" t="n">
        <v>759900</v>
      </c>
      <c r="H321" s="18" t="n">
        <v>1000</v>
      </c>
      <c r="I321" s="19">
        <f>H321/G321</f>
        <v/>
      </c>
      <c r="J321" s="18">
        <f>H321*(1-Assumptions!$B$4)</f>
        <v/>
      </c>
      <c r="K321" s="20">
        <f>PMT(Assumptions!$B$2/12, 360, -G321*(1-Assumptions!$B$3))</f>
        <v/>
      </c>
      <c r="L321" s="20">
        <f>J321+K321</f>
        <v/>
      </c>
      <c r="M321" s="21">
        <f>IF(I321&gt;=0.01,50,IF(I321&gt;=0.0095,37,IF(I321&gt;=0.009,25,12)))</f>
        <v/>
      </c>
      <c r="N321" s="21">
        <f>IF(L321&gt;=2000,30,IF(L321&gt;=1000,20,IF(L321&gt;=500,10,5)))</f>
        <v/>
      </c>
      <c r="O321" s="21" t="n">
        <v>13</v>
      </c>
      <c r="P321" s="22">
        <f>M321+N321+O321</f>
        <v/>
      </c>
      <c r="Q321" s="16" t="inlineStr">
        <is>
          <t>A11796410</t>
        </is>
      </c>
      <c r="R321" s="16" t="inlineStr"/>
      <c r="S321" s="16" t="inlineStr"/>
    </row>
    <row r="322">
      <c r="A322" s="15">
        <f>HYPERLINK("https://www.google.com/search?q=A11868988+Miami+MLS+listing", "A11868988")</f>
        <v/>
      </c>
      <c r="B322" s="16" t="inlineStr">
        <is>
          <t>1204 NE 5th Ave</t>
        </is>
      </c>
      <c r="C322" s="16" t="inlineStr">
        <is>
          <t>33304</t>
        </is>
      </c>
      <c r="D322" s="16" t="inlineStr">
        <is>
          <t>Broward County</t>
        </is>
      </c>
      <c r="E322" s="16" t="inlineStr">
        <is>
          <t>Fourplex</t>
        </is>
      </c>
      <c r="F322" s="17" t="n">
        <v>4</v>
      </c>
      <c r="G322" s="18" t="n">
        <v>1200000</v>
      </c>
      <c r="H322" s="18" t="n">
        <v>6950</v>
      </c>
      <c r="I322" s="19">
        <f>H322/G322</f>
        <v/>
      </c>
      <c r="J322" s="18">
        <f>H322*(1-Assumptions!$B$4)</f>
        <v/>
      </c>
      <c r="K322" s="20">
        <f>PMT(Assumptions!$B$2/12, 360, -G322*(1-Assumptions!$B$3))</f>
        <v/>
      </c>
      <c r="L322" s="20">
        <f>J322+K322</f>
        <v/>
      </c>
      <c r="M322" s="21">
        <f>IF(I322&gt;=0.01,50,IF(I322&gt;=0.0095,37,IF(I322&gt;=0.009,25,12)))</f>
        <v/>
      </c>
      <c r="N322" s="21">
        <f>IF(L322&gt;=2000,30,IF(L322&gt;=1000,20,IF(L322&gt;=500,10,5)))</f>
        <v/>
      </c>
      <c r="O322" s="21" t="n">
        <v>13</v>
      </c>
      <c r="P322" s="22">
        <f>M322+N322+O322</f>
        <v/>
      </c>
      <c r="Q322" s="16" t="inlineStr">
        <is>
          <t>A11868988</t>
        </is>
      </c>
      <c r="R322" s="16" t="inlineStr"/>
      <c r="S322" s="16" t="inlineStr"/>
    </row>
    <row r="323">
      <c r="A323" s="15">
        <f>HYPERLINK("https://www.google.com/search?q=A11930495+Miami+MLS+listing", "A11930495")</f>
        <v/>
      </c>
      <c r="B323" s="16" t="inlineStr">
        <is>
          <t>201 W Blue Heron Blvd</t>
        </is>
      </c>
      <c r="C323" s="16" t="inlineStr">
        <is>
          <t>33404</t>
        </is>
      </c>
      <c r="D323" s="16" t="inlineStr">
        <is>
          <t>Palm Beach County</t>
        </is>
      </c>
      <c r="E323" s="16" t="inlineStr">
        <is>
          <t>Fourplex</t>
        </is>
      </c>
      <c r="F323" s="17" t="n">
        <v>4</v>
      </c>
      <c r="G323" s="18" t="n">
        <v>2000000</v>
      </c>
      <c r="H323" s="18" t="n">
        <v>9600</v>
      </c>
      <c r="I323" s="19">
        <f>H323/G323</f>
        <v/>
      </c>
      <c r="J323" s="18">
        <f>H323*(1-Assumptions!$B$4)</f>
        <v/>
      </c>
      <c r="K323" s="20">
        <f>PMT(Assumptions!$B$2/12, 360, -G323*(1-Assumptions!$B$3))</f>
        <v/>
      </c>
      <c r="L323" s="20">
        <f>J323+K323</f>
        <v/>
      </c>
      <c r="M323" s="21">
        <f>IF(I323&gt;=0.01,50,IF(I323&gt;=0.0095,37,IF(I323&gt;=0.009,25,12)))</f>
        <v/>
      </c>
      <c r="N323" s="21">
        <f>IF(L323&gt;=2000,30,IF(L323&gt;=1000,20,IF(L323&gt;=500,10,5)))</f>
        <v/>
      </c>
      <c r="O323" s="21" t="n">
        <v>13</v>
      </c>
      <c r="P323" s="22">
        <f>M323+N323+O323</f>
        <v/>
      </c>
      <c r="Q323" s="16" t="inlineStr">
        <is>
          <t>A11930495</t>
        </is>
      </c>
      <c r="R323" s="16" t="inlineStr"/>
      <c r="S323" s="16" t="inlineStr"/>
    </row>
    <row r="324">
      <c r="A324" s="15">
        <f>HYPERLINK("https://www.google.com/search?q=A11755640+Miami+MLS+listing", "A11755640")</f>
        <v/>
      </c>
      <c r="B324" s="16" t="inlineStr">
        <is>
          <t>2888 SW 19th Ct</t>
        </is>
      </c>
      <c r="C324" s="16" t="inlineStr">
        <is>
          <t>33312</t>
        </is>
      </c>
      <c r="D324" s="16" t="inlineStr">
        <is>
          <t>Broward County</t>
        </is>
      </c>
      <c r="E324" s="16" t="inlineStr">
        <is>
          <t>Duplex</t>
        </is>
      </c>
      <c r="F324" s="17" t="n">
        <v>2</v>
      </c>
      <c r="G324" s="18" t="n">
        <v>625000</v>
      </c>
      <c r="H324" s="18" t="n">
        <v>3360</v>
      </c>
      <c r="I324" s="19">
        <f>H324/G324</f>
        <v/>
      </c>
      <c r="J324" s="18">
        <f>H324*(1-Assumptions!$B$4)</f>
        <v/>
      </c>
      <c r="K324" s="20">
        <f>PMT(Assumptions!$B$2/12, 360, -G324*(1-Assumptions!$B$3))</f>
        <v/>
      </c>
      <c r="L324" s="20">
        <f>J324+K324</f>
        <v/>
      </c>
      <c r="M324" s="21">
        <f>IF(I324&gt;=0.01,50,IF(I324&gt;=0.0095,37,IF(I324&gt;=0.009,25,12)))</f>
        <v/>
      </c>
      <c r="N324" s="21">
        <f>IF(L324&gt;=2000,30,IF(L324&gt;=1000,20,IF(L324&gt;=500,10,5)))</f>
        <v/>
      </c>
      <c r="O324" s="21" t="n">
        <v>13</v>
      </c>
      <c r="P324" s="22">
        <f>M324+N324+O324</f>
        <v/>
      </c>
      <c r="Q324" s="16" t="inlineStr">
        <is>
          <t>A11755640</t>
        </is>
      </c>
      <c r="R324" s="16" t="inlineStr"/>
      <c r="S324" s="16" t="inlineStr"/>
    </row>
    <row r="325">
      <c r="A325" s="15">
        <f>HYPERLINK("https://www.google.com/search?q=A11969365+Miami+MLS+listing", "A11969365")</f>
        <v/>
      </c>
      <c r="B325" s="16" t="inlineStr">
        <is>
          <t>2201 NE 14th Ave</t>
        </is>
      </c>
      <c r="C325" s="16" t="inlineStr">
        <is>
          <t>33305</t>
        </is>
      </c>
      <c r="D325" s="16" t="inlineStr">
        <is>
          <t>Broward County</t>
        </is>
      </c>
      <c r="E325" s="16" t="inlineStr">
        <is>
          <t>Fourplex</t>
        </is>
      </c>
      <c r="F325" s="17" t="n">
        <v>4</v>
      </c>
      <c r="G325" s="18" t="n">
        <v>2497000</v>
      </c>
      <c r="H325" s="18" t="n">
        <v>17400</v>
      </c>
      <c r="I325" s="19">
        <f>H325/G325</f>
        <v/>
      </c>
      <c r="J325" s="18">
        <f>H325*(1-Assumptions!$B$4)</f>
        <v/>
      </c>
      <c r="K325" s="20">
        <f>PMT(Assumptions!$B$2/12, 360, -G325*(1-Assumptions!$B$3))</f>
        <v/>
      </c>
      <c r="L325" s="20">
        <f>J325+K325</f>
        <v/>
      </c>
      <c r="M325" s="21">
        <f>IF(I325&gt;=0.01,50,IF(I325&gt;=0.0095,37,IF(I325&gt;=0.009,25,12)))</f>
        <v/>
      </c>
      <c r="N325" s="21">
        <f>IF(L325&gt;=2000,30,IF(L325&gt;=1000,20,IF(L325&gt;=500,10,5)))</f>
        <v/>
      </c>
      <c r="O325" s="21" t="n">
        <v>13</v>
      </c>
      <c r="P325" s="22">
        <f>M325+N325+O325</f>
        <v/>
      </c>
      <c r="Q325" s="16" t="inlineStr">
        <is>
          <t>A11969365</t>
        </is>
      </c>
      <c r="R325" s="16" t="inlineStr"/>
      <c r="S325" s="16" t="inlineStr"/>
    </row>
    <row r="326">
      <c r="A326" s="15">
        <f>HYPERLINK("https://www.google.com/search?q=A11969195+Miami+MLS+listing", "A11969195")</f>
        <v/>
      </c>
      <c r="B326" s="16" t="inlineStr">
        <is>
          <t>927 S Pine St</t>
        </is>
      </c>
      <c r="C326" s="16" t="inlineStr">
        <is>
          <t>33460</t>
        </is>
      </c>
      <c r="D326" s="16" t="inlineStr">
        <is>
          <t>Palm Beach County</t>
        </is>
      </c>
      <c r="E326" s="16" t="inlineStr">
        <is>
          <t>Fourplex</t>
        </is>
      </c>
      <c r="F326" s="17" t="n">
        <v>4</v>
      </c>
      <c r="G326" s="18" t="n">
        <v>1700000</v>
      </c>
      <c r="H326" s="18" t="n">
        <v>3400</v>
      </c>
      <c r="I326" s="19">
        <f>H326/G326</f>
        <v/>
      </c>
      <c r="J326" s="18">
        <f>H326*(1-Assumptions!$B$4)</f>
        <v/>
      </c>
      <c r="K326" s="20">
        <f>PMT(Assumptions!$B$2/12, 360, -G326*(1-Assumptions!$B$3))</f>
        <v/>
      </c>
      <c r="L326" s="20">
        <f>J326+K326</f>
        <v/>
      </c>
      <c r="M326" s="21">
        <f>IF(I326&gt;=0.01,50,IF(I326&gt;=0.0095,37,IF(I326&gt;=0.009,25,12)))</f>
        <v/>
      </c>
      <c r="N326" s="21">
        <f>IF(L326&gt;=2000,30,IF(L326&gt;=1000,20,IF(L326&gt;=500,10,5)))</f>
        <v/>
      </c>
      <c r="O326" s="21" t="n">
        <v>13</v>
      </c>
      <c r="P326" s="22">
        <f>M326+N326+O326</f>
        <v/>
      </c>
      <c r="Q326" s="16" t="inlineStr">
        <is>
          <t>A11969195</t>
        </is>
      </c>
      <c r="R326" s="16" t="inlineStr"/>
      <c r="S326" s="16" t="inlineStr"/>
    </row>
    <row r="327">
      <c r="A327" s="15">
        <f>HYPERLINK("https://www.google.com/search?q=A11976190+Miami+MLS+listing", "A11976190")</f>
        <v/>
      </c>
      <c r="B327" s="16" t="inlineStr">
        <is>
          <t>630 NE 15th Ct</t>
        </is>
      </c>
      <c r="C327" s="16" t="inlineStr">
        <is>
          <t>33304</t>
        </is>
      </c>
      <c r="D327" s="16" t="inlineStr">
        <is>
          <t>Broward County</t>
        </is>
      </c>
      <c r="E327" s="16" t="inlineStr">
        <is>
          <t>Duplex</t>
        </is>
      </c>
      <c r="F327" s="17" t="n">
        <v>2</v>
      </c>
      <c r="G327" s="18" t="n">
        <v>550000</v>
      </c>
      <c r="H327" s="18" t="n">
        <v>3500</v>
      </c>
      <c r="I327" s="19">
        <f>H327/G327</f>
        <v/>
      </c>
      <c r="J327" s="18">
        <f>H327*(1-Assumptions!$B$4)</f>
        <v/>
      </c>
      <c r="K327" s="20">
        <f>PMT(Assumptions!$B$2/12, 360, -G327*(1-Assumptions!$B$3))</f>
        <v/>
      </c>
      <c r="L327" s="20">
        <f>J327+K327</f>
        <v/>
      </c>
      <c r="M327" s="21">
        <f>IF(I327&gt;=0.01,50,IF(I327&gt;=0.0095,37,IF(I327&gt;=0.009,25,12)))</f>
        <v/>
      </c>
      <c r="N327" s="21">
        <f>IF(L327&gt;=2000,30,IF(L327&gt;=1000,20,IF(L327&gt;=500,10,5)))</f>
        <v/>
      </c>
      <c r="O327" s="21" t="n">
        <v>13</v>
      </c>
      <c r="P327" s="22">
        <f>M327+N327+O327</f>
        <v/>
      </c>
      <c r="Q327" s="16" t="inlineStr">
        <is>
          <t>A11976190</t>
        </is>
      </c>
      <c r="R327" s="16" t="inlineStr"/>
      <c r="S327" s="16" t="inlineStr"/>
    </row>
    <row r="328">
      <c r="A328" s="15">
        <f>HYPERLINK("https://www.google.com/search?q=A11896316+Miami+MLS+listing", "A11896316")</f>
        <v/>
      </c>
      <c r="B328" s="16" t="inlineStr">
        <is>
          <t>3405 NW 82nd Ave</t>
        </is>
      </c>
      <c r="C328" s="16" t="inlineStr">
        <is>
          <t>33065</t>
        </is>
      </c>
      <c r="D328" s="16" t="inlineStr">
        <is>
          <t>Broward County</t>
        </is>
      </c>
      <c r="E328" s="16" t="inlineStr">
        <is>
          <t>Duplex</t>
        </is>
      </c>
      <c r="F328" s="17" t="n">
        <v>2</v>
      </c>
      <c r="G328" s="18" t="n">
        <v>700000</v>
      </c>
      <c r="H328" s="18" t="n">
        <v>3150</v>
      </c>
      <c r="I328" s="19">
        <f>H328/G328</f>
        <v/>
      </c>
      <c r="J328" s="18">
        <f>H328*(1-Assumptions!$B$4)</f>
        <v/>
      </c>
      <c r="K328" s="20">
        <f>PMT(Assumptions!$B$2/12, 360, -G328*(1-Assumptions!$B$3))</f>
        <v/>
      </c>
      <c r="L328" s="20">
        <f>J328+K328</f>
        <v/>
      </c>
      <c r="M328" s="21">
        <f>IF(I328&gt;=0.01,50,IF(I328&gt;=0.0095,37,IF(I328&gt;=0.009,25,12)))</f>
        <v/>
      </c>
      <c r="N328" s="21">
        <f>IF(L328&gt;=2000,30,IF(L328&gt;=1000,20,IF(L328&gt;=500,10,5)))</f>
        <v/>
      </c>
      <c r="O328" s="21" t="n">
        <v>13</v>
      </c>
      <c r="P328" s="22">
        <f>M328+N328+O328</f>
        <v/>
      </c>
      <c r="Q328" s="16" t="inlineStr">
        <is>
          <t>A11896316</t>
        </is>
      </c>
      <c r="R328" s="16" t="inlineStr"/>
      <c r="S328" s="16" t="inlineStr"/>
    </row>
    <row r="329">
      <c r="A329" s="15">
        <f>HYPERLINK("https://www.google.com/search?q=A11755488+Miami+MLS+listing", "A11755488")</f>
        <v/>
      </c>
      <c r="B329" s="16" t="inlineStr">
        <is>
          <t>629 9th St</t>
        </is>
      </c>
      <c r="C329" s="16" t="inlineStr">
        <is>
          <t>33401</t>
        </is>
      </c>
      <c r="D329" s="16" t="inlineStr">
        <is>
          <t>Palm Beach County</t>
        </is>
      </c>
      <c r="E329" s="16" t="inlineStr">
        <is>
          <t>Duplex</t>
        </is>
      </c>
      <c r="F329" s="17" t="n">
        <v>2</v>
      </c>
      <c r="G329" s="18" t="n">
        <v>799000</v>
      </c>
      <c r="H329" s="18" t="n">
        <v>3500</v>
      </c>
      <c r="I329" s="19">
        <f>H329/G329</f>
        <v/>
      </c>
      <c r="J329" s="18">
        <f>H329*(1-Assumptions!$B$4)</f>
        <v/>
      </c>
      <c r="K329" s="20">
        <f>PMT(Assumptions!$B$2/12, 360, -G329*(1-Assumptions!$B$3))</f>
        <v/>
      </c>
      <c r="L329" s="20">
        <f>J329+K329</f>
        <v/>
      </c>
      <c r="M329" s="21">
        <f>IF(I329&gt;=0.01,50,IF(I329&gt;=0.0095,37,IF(I329&gt;=0.009,25,12)))</f>
        <v/>
      </c>
      <c r="N329" s="21">
        <f>IF(L329&gt;=2000,30,IF(L329&gt;=1000,20,IF(L329&gt;=500,10,5)))</f>
        <v/>
      </c>
      <c r="O329" s="21" t="n">
        <v>13</v>
      </c>
      <c r="P329" s="22">
        <f>M329+N329+O329</f>
        <v/>
      </c>
      <c r="Q329" s="16" t="inlineStr">
        <is>
          <t>A11755488</t>
        </is>
      </c>
      <c r="R329" s="16" t="inlineStr"/>
      <c r="S329" s="16" t="inlineStr"/>
    </row>
    <row r="330">
      <c r="A330" s="15">
        <f>HYPERLINK("https://www.google.com/search?q=A11939192+Miami+MLS+listing", "A11939192")</f>
        <v/>
      </c>
      <c r="B330" s="16" t="inlineStr">
        <is>
          <t>3775 NW 116th Ter</t>
        </is>
      </c>
      <c r="C330" s="16" t="inlineStr">
        <is>
          <t>33065</t>
        </is>
      </c>
      <c r="D330" s="16" t="inlineStr">
        <is>
          <t>Broward County</t>
        </is>
      </c>
      <c r="E330" s="16" t="inlineStr">
        <is>
          <t>Fourplex</t>
        </is>
      </c>
      <c r="F330" s="17" t="n">
        <v>4</v>
      </c>
      <c r="G330" s="18" t="n">
        <v>1290000</v>
      </c>
      <c r="H330" s="18" t="n">
        <v>9950</v>
      </c>
      <c r="I330" s="19">
        <f>H330/G330</f>
        <v/>
      </c>
      <c r="J330" s="18">
        <f>H330*(1-Assumptions!$B$4)</f>
        <v/>
      </c>
      <c r="K330" s="20">
        <f>PMT(Assumptions!$B$2/12, 360, -G330*(1-Assumptions!$B$3))</f>
        <v/>
      </c>
      <c r="L330" s="20">
        <f>J330+K330</f>
        <v/>
      </c>
      <c r="M330" s="21">
        <f>IF(I330&gt;=0.01,50,IF(I330&gt;=0.0095,37,IF(I330&gt;=0.009,25,12)))</f>
        <v/>
      </c>
      <c r="N330" s="21">
        <f>IF(L330&gt;=2000,30,IF(L330&gt;=1000,20,IF(L330&gt;=500,10,5)))</f>
        <v/>
      </c>
      <c r="O330" s="21" t="n">
        <v>13</v>
      </c>
      <c r="P330" s="22">
        <f>M330+N330+O330</f>
        <v/>
      </c>
      <c r="Q330" s="16" t="inlineStr">
        <is>
          <t>A11939192</t>
        </is>
      </c>
      <c r="R330" s="16" t="inlineStr"/>
      <c r="S330" s="16" t="inlineStr"/>
    </row>
    <row r="331">
      <c r="A331" s="15">
        <f>HYPERLINK("https://www.google.com/search?q=A11928995+Miami+MLS+listing", "A11928995")</f>
        <v/>
      </c>
      <c r="B331" s="16" t="inlineStr">
        <is>
          <t>3821 SW 13th Ct</t>
        </is>
      </c>
      <c r="C331" s="16" t="inlineStr">
        <is>
          <t>33312</t>
        </is>
      </c>
      <c r="D331" s="16" t="inlineStr">
        <is>
          <t>Broward County</t>
        </is>
      </c>
      <c r="E331" s="16" t="inlineStr">
        <is>
          <t>Fourplex</t>
        </is>
      </c>
      <c r="F331" s="17" t="n">
        <v>4</v>
      </c>
      <c r="G331" s="18" t="n">
        <v>1190000</v>
      </c>
      <c r="H331" s="18" t="n">
        <v>3400</v>
      </c>
      <c r="I331" s="19">
        <f>H331/G331</f>
        <v/>
      </c>
      <c r="J331" s="18">
        <f>H331*(1-Assumptions!$B$4)</f>
        <v/>
      </c>
      <c r="K331" s="20">
        <f>PMT(Assumptions!$B$2/12, 360, -G331*(1-Assumptions!$B$3))</f>
        <v/>
      </c>
      <c r="L331" s="20">
        <f>J331+K331</f>
        <v/>
      </c>
      <c r="M331" s="21">
        <f>IF(I331&gt;=0.01,50,IF(I331&gt;=0.0095,37,IF(I331&gt;=0.009,25,12)))</f>
        <v/>
      </c>
      <c r="N331" s="21">
        <f>IF(L331&gt;=2000,30,IF(L331&gt;=1000,20,IF(L331&gt;=500,10,5)))</f>
        <v/>
      </c>
      <c r="O331" s="21" t="n">
        <v>13</v>
      </c>
      <c r="P331" s="22">
        <f>M331+N331+O331</f>
        <v/>
      </c>
      <c r="Q331" s="16" t="inlineStr">
        <is>
          <t>A11928995</t>
        </is>
      </c>
      <c r="R331" s="16" t="inlineStr"/>
      <c r="S331" s="16" t="inlineStr"/>
    </row>
    <row r="332">
      <c r="A332" s="15">
        <f>HYPERLINK("https://www.google.com/search?q=A11792950+Miami+MLS+listing", "A11792950")</f>
        <v/>
      </c>
      <c r="B332" s="16" t="inlineStr">
        <is>
          <t>5657 Grant St</t>
        </is>
      </c>
      <c r="C332" s="16" t="inlineStr">
        <is>
          <t>33021</t>
        </is>
      </c>
      <c r="D332" s="16" t="inlineStr">
        <is>
          <t>Broward County</t>
        </is>
      </c>
      <c r="E332" s="16" t="inlineStr">
        <is>
          <t>Fourplex</t>
        </is>
      </c>
      <c r="F332" s="17" t="n">
        <v>4</v>
      </c>
      <c r="G332" s="18" t="n">
        <v>899999</v>
      </c>
      <c r="H332" s="18" t="n">
        <v>6450</v>
      </c>
      <c r="I332" s="19">
        <f>H332/G332</f>
        <v/>
      </c>
      <c r="J332" s="18">
        <f>H332*(1-Assumptions!$B$4)</f>
        <v/>
      </c>
      <c r="K332" s="20">
        <f>PMT(Assumptions!$B$2/12, 360, -G332*(1-Assumptions!$B$3))</f>
        <v/>
      </c>
      <c r="L332" s="20">
        <f>J332+K332</f>
        <v/>
      </c>
      <c r="M332" s="21">
        <f>IF(I332&gt;=0.01,50,IF(I332&gt;=0.0095,37,IF(I332&gt;=0.009,25,12)))</f>
        <v/>
      </c>
      <c r="N332" s="21">
        <f>IF(L332&gt;=2000,30,IF(L332&gt;=1000,20,IF(L332&gt;=500,10,5)))</f>
        <v/>
      </c>
      <c r="O332" s="21" t="n">
        <v>13</v>
      </c>
      <c r="P332" s="22">
        <f>M332+N332+O332</f>
        <v/>
      </c>
      <c r="Q332" s="16" t="inlineStr">
        <is>
          <t>A11792950</t>
        </is>
      </c>
      <c r="R332" s="16" t="inlineStr"/>
      <c r="S332" s="16" t="inlineStr"/>
    </row>
    <row r="333">
      <c r="A333" s="15">
        <f>HYPERLINK("https://www.google.com/search?q=A11976490+Miami+MLS+listing", "A11976490")</f>
        <v/>
      </c>
      <c r="B333" s="16" t="inlineStr">
        <is>
          <t>1501 N 17th Ave</t>
        </is>
      </c>
      <c r="C333" s="16" t="inlineStr">
        <is>
          <t>33020</t>
        </is>
      </c>
      <c r="D333" s="16" t="inlineStr">
        <is>
          <t>Broward County</t>
        </is>
      </c>
      <c r="E333" s="16" t="inlineStr">
        <is>
          <t>Fourplex</t>
        </is>
      </c>
      <c r="F333" s="17" t="n">
        <v>4</v>
      </c>
      <c r="G333" s="18" t="n">
        <v>2999999</v>
      </c>
      <c r="H333" s="18" t="n">
        <v>16000</v>
      </c>
      <c r="I333" s="19">
        <f>H333/G333</f>
        <v/>
      </c>
      <c r="J333" s="18">
        <f>H333*(1-Assumptions!$B$4)</f>
        <v/>
      </c>
      <c r="K333" s="20">
        <f>PMT(Assumptions!$B$2/12, 360, -G333*(1-Assumptions!$B$3))</f>
        <v/>
      </c>
      <c r="L333" s="20">
        <f>J333+K333</f>
        <v/>
      </c>
      <c r="M333" s="21">
        <f>IF(I333&gt;=0.01,50,IF(I333&gt;=0.0095,37,IF(I333&gt;=0.009,25,12)))</f>
        <v/>
      </c>
      <c r="N333" s="21">
        <f>IF(L333&gt;=2000,30,IF(L333&gt;=1000,20,IF(L333&gt;=500,10,5)))</f>
        <v/>
      </c>
      <c r="O333" s="21" t="n">
        <v>13</v>
      </c>
      <c r="P333" s="22">
        <f>M333+N333+O333</f>
        <v/>
      </c>
      <c r="Q333" s="16" t="inlineStr">
        <is>
          <t>A11976490</t>
        </is>
      </c>
      <c r="R333" s="16" t="inlineStr"/>
      <c r="S333" s="16" t="inlineStr"/>
    </row>
    <row r="334">
      <c r="A334" s="15">
        <f>HYPERLINK("https://www.google.com/search?q=A11817841+Miami+MLS+listing", "A11817841")</f>
        <v/>
      </c>
      <c r="B334" s="16" t="inlineStr">
        <is>
          <t>1416 N 2nd Ave N</t>
        </is>
      </c>
      <c r="C334" s="16" t="inlineStr">
        <is>
          <t>33460</t>
        </is>
      </c>
      <c r="D334" s="16" t="inlineStr">
        <is>
          <t>Palm Beach County</t>
        </is>
      </c>
      <c r="E334" s="16" t="inlineStr">
        <is>
          <t>Duplex</t>
        </is>
      </c>
      <c r="F334" s="17" t="n">
        <v>2</v>
      </c>
      <c r="G334" s="18" t="n">
        <v>675000</v>
      </c>
      <c r="H334" s="18" t="n">
        <v>3100</v>
      </c>
      <c r="I334" s="19">
        <f>H334/G334</f>
        <v/>
      </c>
      <c r="J334" s="18">
        <f>H334*(1-Assumptions!$B$4)</f>
        <v/>
      </c>
      <c r="K334" s="20">
        <f>PMT(Assumptions!$B$2/12, 360, -G334*(1-Assumptions!$B$3))</f>
        <v/>
      </c>
      <c r="L334" s="20">
        <f>J334+K334</f>
        <v/>
      </c>
      <c r="M334" s="21">
        <f>IF(I334&gt;=0.01,50,IF(I334&gt;=0.0095,37,IF(I334&gt;=0.009,25,12)))</f>
        <v/>
      </c>
      <c r="N334" s="21">
        <f>IF(L334&gt;=2000,30,IF(L334&gt;=1000,20,IF(L334&gt;=500,10,5)))</f>
        <v/>
      </c>
      <c r="O334" s="21" t="n">
        <v>13</v>
      </c>
      <c r="P334" s="22">
        <f>M334+N334+O334</f>
        <v/>
      </c>
      <c r="Q334" s="16" t="inlineStr">
        <is>
          <t>A11817841</t>
        </is>
      </c>
      <c r="R334" s="16" t="inlineStr"/>
      <c r="S334" s="16" t="inlineStr"/>
    </row>
    <row r="335">
      <c r="A335" s="15">
        <f>HYPERLINK("https://www.google.com/search?q=A11931767+Miami+MLS+listing", "A11931767")</f>
        <v/>
      </c>
      <c r="B335" s="16" t="inlineStr">
        <is>
          <t>8704 NW 35th St</t>
        </is>
      </c>
      <c r="C335" s="16" t="inlineStr">
        <is>
          <t>33065</t>
        </is>
      </c>
      <c r="D335" s="16" t="inlineStr">
        <is>
          <t>Broward County</t>
        </is>
      </c>
      <c r="E335" s="16" t="inlineStr">
        <is>
          <t>Duplex</t>
        </is>
      </c>
      <c r="F335" s="17" t="n">
        <v>2</v>
      </c>
      <c r="G335" s="18" t="n">
        <v>345000</v>
      </c>
      <c r="H335" s="18" t="n">
        <v>1350</v>
      </c>
      <c r="I335" s="19">
        <f>H335/G335</f>
        <v/>
      </c>
      <c r="J335" s="18">
        <f>H335*(1-Assumptions!$B$4)</f>
        <v/>
      </c>
      <c r="K335" s="20">
        <f>PMT(Assumptions!$B$2/12, 360, -G335*(1-Assumptions!$B$3))</f>
        <v/>
      </c>
      <c r="L335" s="20">
        <f>J335+K335</f>
        <v/>
      </c>
      <c r="M335" s="21">
        <f>IF(I335&gt;=0.01,50,IF(I335&gt;=0.0095,37,IF(I335&gt;=0.009,25,12)))</f>
        <v/>
      </c>
      <c r="N335" s="21">
        <f>IF(L335&gt;=2000,30,IF(L335&gt;=1000,20,IF(L335&gt;=500,10,5)))</f>
        <v/>
      </c>
      <c r="O335" s="21" t="n">
        <v>13</v>
      </c>
      <c r="P335" s="22">
        <f>M335+N335+O335</f>
        <v/>
      </c>
      <c r="Q335" s="16" t="inlineStr">
        <is>
          <t>A11931767</t>
        </is>
      </c>
      <c r="R335" s="16" t="inlineStr"/>
      <c r="S335" s="16" t="inlineStr"/>
    </row>
    <row r="336">
      <c r="A336" s="15">
        <f>HYPERLINK("https://www.google.com/search?q=A11946433+Miami+MLS+listing", "A11946433")</f>
        <v/>
      </c>
      <c r="B336" s="16" t="inlineStr">
        <is>
          <t>640 SW 16th Ave</t>
        </is>
      </c>
      <c r="C336" s="16" t="inlineStr">
        <is>
          <t>33312</t>
        </is>
      </c>
      <c r="D336" s="16" t="inlineStr">
        <is>
          <t>Broward County</t>
        </is>
      </c>
      <c r="E336" s="16" t="inlineStr">
        <is>
          <t>Fourplex</t>
        </is>
      </c>
      <c r="F336" s="17" t="n">
        <v>4</v>
      </c>
      <c r="G336" s="18" t="n">
        <v>1450000</v>
      </c>
      <c r="H336" s="18" t="n">
        <v>11310</v>
      </c>
      <c r="I336" s="19">
        <f>H336/G336</f>
        <v/>
      </c>
      <c r="J336" s="18">
        <f>H336*(1-Assumptions!$B$4)</f>
        <v/>
      </c>
      <c r="K336" s="20">
        <f>PMT(Assumptions!$B$2/12, 360, -G336*(1-Assumptions!$B$3))</f>
        <v/>
      </c>
      <c r="L336" s="20">
        <f>J336+K336</f>
        <v/>
      </c>
      <c r="M336" s="21">
        <f>IF(I336&gt;=0.01,50,IF(I336&gt;=0.0095,37,IF(I336&gt;=0.009,25,12)))</f>
        <v/>
      </c>
      <c r="N336" s="21">
        <f>IF(L336&gt;=2000,30,IF(L336&gt;=1000,20,IF(L336&gt;=500,10,5)))</f>
        <v/>
      </c>
      <c r="O336" s="21" t="n">
        <v>13</v>
      </c>
      <c r="P336" s="22">
        <f>M336+N336+O336</f>
        <v/>
      </c>
      <c r="Q336" s="16" t="inlineStr">
        <is>
          <t>A11946433</t>
        </is>
      </c>
      <c r="R336" s="16" t="inlineStr"/>
      <c r="S336" s="16" t="inlineStr"/>
    </row>
    <row r="337">
      <c r="A337" s="15">
        <f>HYPERLINK("https://www.google.com/search?q=A11974489+Miami+MLS+listing", "A11974489")</f>
        <v/>
      </c>
      <c r="B337" s="16" t="inlineStr">
        <is>
          <t>2000 Monroe St</t>
        </is>
      </c>
      <c r="C337" s="16" t="inlineStr">
        <is>
          <t>33020</t>
        </is>
      </c>
      <c r="D337" s="16" t="inlineStr">
        <is>
          <t>Broward County</t>
        </is>
      </c>
      <c r="E337" s="16" t="inlineStr">
        <is>
          <t>Fourplex</t>
        </is>
      </c>
      <c r="F337" s="17" t="n">
        <v>4</v>
      </c>
      <c r="G337" s="18" t="n">
        <v>4200000</v>
      </c>
      <c r="H337" s="18" t="n">
        <v>1800</v>
      </c>
      <c r="I337" s="19">
        <f>H337/G337</f>
        <v/>
      </c>
      <c r="J337" s="18">
        <f>H337*(1-Assumptions!$B$4)</f>
        <v/>
      </c>
      <c r="K337" s="20">
        <f>PMT(Assumptions!$B$2/12, 360, -G337*(1-Assumptions!$B$3))</f>
        <v/>
      </c>
      <c r="L337" s="20">
        <f>J337+K337</f>
        <v/>
      </c>
      <c r="M337" s="21">
        <f>IF(I337&gt;=0.01,50,IF(I337&gt;=0.0095,37,IF(I337&gt;=0.009,25,12)))</f>
        <v/>
      </c>
      <c r="N337" s="21">
        <f>IF(L337&gt;=2000,30,IF(L337&gt;=1000,20,IF(L337&gt;=500,10,5)))</f>
        <v/>
      </c>
      <c r="O337" s="21" t="n">
        <v>13</v>
      </c>
      <c r="P337" s="22">
        <f>M337+N337+O337</f>
        <v/>
      </c>
      <c r="Q337" s="16" t="inlineStr">
        <is>
          <t>A11974489</t>
        </is>
      </c>
      <c r="R337" s="16" t="inlineStr"/>
      <c r="S337" s="16" t="inlineStr"/>
    </row>
    <row r="338">
      <c r="A338" s="15">
        <f>HYPERLINK("https://www.google.com/search?q=A11902800+Miami+MLS+listing", "A11902800")</f>
        <v/>
      </c>
      <c r="B338" s="16" t="inlineStr">
        <is>
          <t>926 - 932 NW 2nd St</t>
        </is>
      </c>
      <c r="C338" s="16" t="inlineStr">
        <is>
          <t>33311</t>
        </is>
      </c>
      <c r="D338" s="16" t="inlineStr">
        <is>
          <t>Broward County</t>
        </is>
      </c>
      <c r="E338" s="16" t="inlineStr">
        <is>
          <t>Fourplex</t>
        </is>
      </c>
      <c r="F338" s="17" t="n">
        <v>4</v>
      </c>
      <c r="G338" s="18" t="n">
        <v>1800000</v>
      </c>
      <c r="H338" s="18" t="n">
        <v>11400</v>
      </c>
      <c r="I338" s="19">
        <f>H338/G338</f>
        <v/>
      </c>
      <c r="J338" s="18">
        <f>H338*(1-Assumptions!$B$4)</f>
        <v/>
      </c>
      <c r="K338" s="20">
        <f>PMT(Assumptions!$B$2/12, 360, -G338*(1-Assumptions!$B$3))</f>
        <v/>
      </c>
      <c r="L338" s="20">
        <f>J338+K338</f>
        <v/>
      </c>
      <c r="M338" s="21">
        <f>IF(I338&gt;=0.01,50,IF(I338&gt;=0.0095,37,IF(I338&gt;=0.009,25,12)))</f>
        <v/>
      </c>
      <c r="N338" s="21">
        <f>IF(L338&gt;=2000,30,IF(L338&gt;=1000,20,IF(L338&gt;=500,10,5)))</f>
        <v/>
      </c>
      <c r="O338" s="21" t="n">
        <v>13</v>
      </c>
      <c r="P338" s="22">
        <f>M338+N338+O338</f>
        <v/>
      </c>
      <c r="Q338" s="16" t="inlineStr">
        <is>
          <t>A11902800</t>
        </is>
      </c>
      <c r="R338" s="16" t="inlineStr"/>
      <c r="S338" s="16" t="inlineStr"/>
    </row>
    <row r="339">
      <c r="A339" s="15">
        <f>HYPERLINK("https://www.google.com/search?q=A11893394+Miami+MLS+listing", "A11893394")</f>
        <v/>
      </c>
      <c r="B339" s="16" t="inlineStr">
        <is>
          <t>219 NW 7th Ct</t>
        </is>
      </c>
      <c r="C339" s="16" t="inlineStr">
        <is>
          <t>33009</t>
        </is>
      </c>
      <c r="D339" s="16" t="inlineStr">
        <is>
          <t>Broward County</t>
        </is>
      </c>
      <c r="E339" s="16" t="inlineStr">
        <is>
          <t>Duplex</t>
        </is>
      </c>
      <c r="F339" s="17" t="n">
        <v>2</v>
      </c>
      <c r="G339" s="18" t="n">
        <v>748000</v>
      </c>
      <c r="H339" s="18" t="n">
        <v>2500</v>
      </c>
      <c r="I339" s="19">
        <f>H339/G339</f>
        <v/>
      </c>
      <c r="J339" s="18">
        <f>H339*(1-Assumptions!$B$4)</f>
        <v/>
      </c>
      <c r="K339" s="20">
        <f>PMT(Assumptions!$B$2/12, 360, -G339*(1-Assumptions!$B$3))</f>
        <v/>
      </c>
      <c r="L339" s="20">
        <f>J339+K339</f>
        <v/>
      </c>
      <c r="M339" s="21">
        <f>IF(I339&gt;=0.01,50,IF(I339&gt;=0.0095,37,IF(I339&gt;=0.009,25,12)))</f>
        <v/>
      </c>
      <c r="N339" s="21">
        <f>IF(L339&gt;=2000,30,IF(L339&gt;=1000,20,IF(L339&gt;=500,10,5)))</f>
        <v/>
      </c>
      <c r="O339" s="21" t="n">
        <v>13</v>
      </c>
      <c r="P339" s="22">
        <f>M339+N339+O339</f>
        <v/>
      </c>
      <c r="Q339" s="16" t="inlineStr">
        <is>
          <t>A11893394</t>
        </is>
      </c>
      <c r="R339" s="16" t="inlineStr"/>
      <c r="S339" s="16" t="inlineStr"/>
    </row>
    <row r="340">
      <c r="A340" s="15">
        <f>HYPERLINK("https://www.google.com/search?q=A11950125+Miami+MLS+listing", "A11950125")</f>
        <v/>
      </c>
      <c r="B340" s="16" t="inlineStr">
        <is>
          <t>7387 NW 76th St</t>
        </is>
      </c>
      <c r="C340" s="16" t="inlineStr">
        <is>
          <t>33321</t>
        </is>
      </c>
      <c r="D340" s="16" t="inlineStr">
        <is>
          <t>Broward County</t>
        </is>
      </c>
      <c r="E340" s="16" t="inlineStr">
        <is>
          <t>Duplex</t>
        </is>
      </c>
      <c r="F340" s="17" t="n">
        <v>2</v>
      </c>
      <c r="G340" s="18" t="n">
        <v>629000</v>
      </c>
      <c r="H340" s="18" t="n">
        <v>2500</v>
      </c>
      <c r="I340" s="19">
        <f>H340/G340</f>
        <v/>
      </c>
      <c r="J340" s="18">
        <f>H340*(1-Assumptions!$B$4)</f>
        <v/>
      </c>
      <c r="K340" s="20">
        <f>PMT(Assumptions!$B$2/12, 360, -G340*(1-Assumptions!$B$3))</f>
        <v/>
      </c>
      <c r="L340" s="20">
        <f>J340+K340</f>
        <v/>
      </c>
      <c r="M340" s="21">
        <f>IF(I340&gt;=0.01,50,IF(I340&gt;=0.0095,37,IF(I340&gt;=0.009,25,12)))</f>
        <v/>
      </c>
      <c r="N340" s="21">
        <f>IF(L340&gt;=2000,30,IF(L340&gt;=1000,20,IF(L340&gt;=500,10,5)))</f>
        <v/>
      </c>
      <c r="O340" s="21" t="n">
        <v>13</v>
      </c>
      <c r="P340" s="22">
        <f>M340+N340+O340</f>
        <v/>
      </c>
      <c r="Q340" s="16" t="inlineStr">
        <is>
          <t>A11950125</t>
        </is>
      </c>
      <c r="R340" s="16" t="inlineStr"/>
      <c r="S340" s="16" t="inlineStr"/>
    </row>
    <row r="341">
      <c r="A341" s="15">
        <f>HYPERLINK("https://www.google.com/search?q=A11958005+Miami+MLS+listing", "A11958005")</f>
        <v/>
      </c>
      <c r="B341" s="16" t="inlineStr">
        <is>
          <t>220 NW 27th Ave</t>
        </is>
      </c>
      <c r="C341" s="16" t="inlineStr">
        <is>
          <t>33069</t>
        </is>
      </c>
      <c r="D341" s="16" t="inlineStr">
        <is>
          <t>Broward County</t>
        </is>
      </c>
      <c r="E341" s="16" t="inlineStr">
        <is>
          <t>Fourplex</t>
        </is>
      </c>
      <c r="F341" s="17" t="n">
        <v>4</v>
      </c>
      <c r="G341" s="18" t="n">
        <v>790000</v>
      </c>
      <c r="H341" s="18" t="n">
        <v>6200</v>
      </c>
      <c r="I341" s="19">
        <f>H341/G341</f>
        <v/>
      </c>
      <c r="J341" s="18">
        <f>H341*(1-Assumptions!$B$4)</f>
        <v/>
      </c>
      <c r="K341" s="20">
        <f>PMT(Assumptions!$B$2/12, 360, -G341*(1-Assumptions!$B$3))</f>
        <v/>
      </c>
      <c r="L341" s="20">
        <f>J341+K341</f>
        <v/>
      </c>
      <c r="M341" s="21">
        <f>IF(I341&gt;=0.01,50,IF(I341&gt;=0.0095,37,IF(I341&gt;=0.009,25,12)))</f>
        <v/>
      </c>
      <c r="N341" s="21">
        <f>IF(L341&gt;=2000,30,IF(L341&gt;=1000,20,IF(L341&gt;=500,10,5)))</f>
        <v/>
      </c>
      <c r="O341" s="21" t="n">
        <v>13</v>
      </c>
      <c r="P341" s="22">
        <f>M341+N341+O341</f>
        <v/>
      </c>
      <c r="Q341" s="16" t="inlineStr">
        <is>
          <t>A11958005</t>
        </is>
      </c>
      <c r="R341" s="16" t="inlineStr"/>
      <c r="S341" s="16" t="inlineStr"/>
    </row>
    <row r="342">
      <c r="A342" s="15">
        <f>HYPERLINK("https://www.google.com/search?q=A11963234+Miami+MLS+listing", "A11963234")</f>
        <v/>
      </c>
      <c r="B342" s="16" t="inlineStr">
        <is>
          <t>2512 NW 9th Pl</t>
        </is>
      </c>
      <c r="C342" s="16" t="inlineStr">
        <is>
          <t>33311</t>
        </is>
      </c>
      <c r="D342" s="16" t="inlineStr">
        <is>
          <t>Broward County</t>
        </is>
      </c>
      <c r="E342" s="16" t="inlineStr">
        <is>
          <t>Duplex</t>
        </is>
      </c>
      <c r="F342" s="17" t="n">
        <v>2</v>
      </c>
      <c r="G342" s="18" t="n">
        <v>548000</v>
      </c>
      <c r="H342" s="18" t="n">
        <v>1850</v>
      </c>
      <c r="I342" s="19">
        <f>H342/G342</f>
        <v/>
      </c>
      <c r="J342" s="18">
        <f>H342*(1-Assumptions!$B$4)</f>
        <v/>
      </c>
      <c r="K342" s="20">
        <f>PMT(Assumptions!$B$2/12, 360, -G342*(1-Assumptions!$B$3))</f>
        <v/>
      </c>
      <c r="L342" s="20">
        <f>J342+K342</f>
        <v/>
      </c>
      <c r="M342" s="21">
        <f>IF(I342&gt;=0.01,50,IF(I342&gt;=0.0095,37,IF(I342&gt;=0.009,25,12)))</f>
        <v/>
      </c>
      <c r="N342" s="21">
        <f>IF(L342&gt;=2000,30,IF(L342&gt;=1000,20,IF(L342&gt;=500,10,5)))</f>
        <v/>
      </c>
      <c r="O342" s="21" t="n">
        <v>13</v>
      </c>
      <c r="P342" s="22">
        <f>M342+N342+O342</f>
        <v/>
      </c>
      <c r="Q342" s="16" t="inlineStr">
        <is>
          <t>A11963234</t>
        </is>
      </c>
      <c r="R342" s="16" t="inlineStr"/>
      <c r="S342" s="16" t="inlineStr"/>
    </row>
    <row r="343">
      <c r="A343" s="15">
        <f>HYPERLINK("https://www.google.com/search?q=A11965473+Miami+MLS+listing", "A11965473")</f>
        <v/>
      </c>
      <c r="B343" s="16" t="inlineStr">
        <is>
          <t>4000 Greenwood Ave</t>
        </is>
      </c>
      <c r="C343" s="16" t="inlineStr">
        <is>
          <t>33407</t>
        </is>
      </c>
      <c r="D343" s="16" t="inlineStr">
        <is>
          <t>Palm Beach County</t>
        </is>
      </c>
      <c r="E343" s="16" t="inlineStr">
        <is>
          <t>Duplex</t>
        </is>
      </c>
      <c r="F343" s="17" t="n">
        <v>2</v>
      </c>
      <c r="G343" s="18" t="n">
        <v>578800</v>
      </c>
      <c r="H343" s="18" t="n">
        <v>1900</v>
      </c>
      <c r="I343" s="19">
        <f>H343/G343</f>
        <v/>
      </c>
      <c r="J343" s="18">
        <f>H343*(1-Assumptions!$B$4)</f>
        <v/>
      </c>
      <c r="K343" s="20">
        <f>PMT(Assumptions!$B$2/12, 360, -G343*(1-Assumptions!$B$3))</f>
        <v/>
      </c>
      <c r="L343" s="20">
        <f>J343+K343</f>
        <v/>
      </c>
      <c r="M343" s="21">
        <f>IF(I343&gt;=0.01,50,IF(I343&gt;=0.0095,37,IF(I343&gt;=0.009,25,12)))</f>
        <v/>
      </c>
      <c r="N343" s="21">
        <f>IF(L343&gt;=2000,30,IF(L343&gt;=1000,20,IF(L343&gt;=500,10,5)))</f>
        <v/>
      </c>
      <c r="O343" s="21" t="n">
        <v>13</v>
      </c>
      <c r="P343" s="22">
        <f>M343+N343+O343</f>
        <v/>
      </c>
      <c r="Q343" s="16" t="inlineStr">
        <is>
          <t>A11965473</t>
        </is>
      </c>
      <c r="R343" s="16" t="inlineStr"/>
      <c r="S343" s="16" t="inlineStr"/>
    </row>
    <row r="344">
      <c r="A344" s="15">
        <f>HYPERLINK("https://www.google.com/search?q=A11917256+Miami+MLS+listing", "A11917256")</f>
        <v/>
      </c>
      <c r="B344" s="16" t="inlineStr">
        <is>
          <t>1472 NE 25th Ct</t>
        </is>
      </c>
      <c r="C344" s="16" t="inlineStr">
        <is>
          <t>33064</t>
        </is>
      </c>
      <c r="D344" s="16" t="inlineStr">
        <is>
          <t>Broward County</t>
        </is>
      </c>
      <c r="E344" s="16" t="inlineStr">
        <is>
          <t>Fourplex</t>
        </is>
      </c>
      <c r="F344" s="17" t="n">
        <v>4</v>
      </c>
      <c r="G344" s="18" t="n">
        <v>1700000</v>
      </c>
      <c r="H344" s="18" t="n">
        <v>11540</v>
      </c>
      <c r="I344" s="19">
        <f>H344/G344</f>
        <v/>
      </c>
      <c r="J344" s="18">
        <f>H344*(1-Assumptions!$B$4)</f>
        <v/>
      </c>
      <c r="K344" s="20">
        <f>PMT(Assumptions!$B$2/12, 360, -G344*(1-Assumptions!$B$3))</f>
        <v/>
      </c>
      <c r="L344" s="20">
        <f>J344+K344</f>
        <v/>
      </c>
      <c r="M344" s="21">
        <f>IF(I344&gt;=0.01,50,IF(I344&gt;=0.0095,37,IF(I344&gt;=0.009,25,12)))</f>
        <v/>
      </c>
      <c r="N344" s="21">
        <f>IF(L344&gt;=2000,30,IF(L344&gt;=1000,20,IF(L344&gt;=500,10,5)))</f>
        <v/>
      </c>
      <c r="O344" s="21" t="n">
        <v>13</v>
      </c>
      <c r="P344" s="22">
        <f>M344+N344+O344</f>
        <v/>
      </c>
      <c r="Q344" s="16" t="inlineStr">
        <is>
          <t>A11917256</t>
        </is>
      </c>
      <c r="R344" s="16" t="inlineStr"/>
      <c r="S344" s="16" t="inlineStr"/>
    </row>
    <row r="345">
      <c r="A345" s="15">
        <f>HYPERLINK("https://www.google.com/search?q=A11969369+Miami+MLS+listing", "A11969369")</f>
        <v/>
      </c>
      <c r="B345" s="16" t="inlineStr">
        <is>
          <t>208 SW 2nd Pl</t>
        </is>
      </c>
      <c r="C345" s="16" t="inlineStr">
        <is>
          <t>33004</t>
        </is>
      </c>
      <c r="D345" s="16" t="inlineStr">
        <is>
          <t>Broward County</t>
        </is>
      </c>
      <c r="E345" s="16" t="inlineStr">
        <is>
          <t>Duplex</t>
        </is>
      </c>
      <c r="F345" s="17" t="n">
        <v>2</v>
      </c>
      <c r="G345" s="18" t="n">
        <v>549500</v>
      </c>
      <c r="H345" s="18" t="n">
        <v>2400</v>
      </c>
      <c r="I345" s="19">
        <f>H345/G345</f>
        <v/>
      </c>
      <c r="J345" s="18">
        <f>H345*(1-Assumptions!$B$4)</f>
        <v/>
      </c>
      <c r="K345" s="20">
        <f>PMT(Assumptions!$B$2/12, 360, -G345*(1-Assumptions!$B$3))</f>
        <v/>
      </c>
      <c r="L345" s="20">
        <f>J345+K345</f>
        <v/>
      </c>
      <c r="M345" s="21">
        <f>IF(I345&gt;=0.01,50,IF(I345&gt;=0.0095,37,IF(I345&gt;=0.009,25,12)))</f>
        <v/>
      </c>
      <c r="N345" s="21">
        <f>IF(L345&gt;=2000,30,IF(L345&gt;=1000,20,IF(L345&gt;=500,10,5)))</f>
        <v/>
      </c>
      <c r="O345" s="21" t="n">
        <v>13</v>
      </c>
      <c r="P345" s="22">
        <f>M345+N345+O345</f>
        <v/>
      </c>
      <c r="Q345" s="16" t="inlineStr">
        <is>
          <t>A11969369</t>
        </is>
      </c>
      <c r="R345" s="16" t="inlineStr"/>
      <c r="S345" s="16" t="inlineStr"/>
    </row>
    <row r="346">
      <c r="A346" s="15">
        <f>HYPERLINK("https://www.google.com/search?q=A11869046+Miami+MLS+listing", "A11869046")</f>
        <v/>
      </c>
      <c r="B346" s="16" t="inlineStr">
        <is>
          <t>2411 Hayes St</t>
        </is>
      </c>
      <c r="C346" s="16" t="inlineStr">
        <is>
          <t>33020</t>
        </is>
      </c>
      <c r="D346" s="16" t="inlineStr">
        <is>
          <t>Broward County</t>
        </is>
      </c>
      <c r="E346" s="16" t="inlineStr">
        <is>
          <t>Duplex</t>
        </is>
      </c>
      <c r="F346" s="17" t="n">
        <v>2</v>
      </c>
      <c r="G346" s="18" t="n">
        <v>489000</v>
      </c>
      <c r="H346" s="18" t="n">
        <v>2400</v>
      </c>
      <c r="I346" s="19">
        <f>H346/G346</f>
        <v/>
      </c>
      <c r="J346" s="18">
        <f>H346*(1-Assumptions!$B$4)</f>
        <v/>
      </c>
      <c r="K346" s="20">
        <f>PMT(Assumptions!$B$2/12, 360, -G346*(1-Assumptions!$B$3))</f>
        <v/>
      </c>
      <c r="L346" s="20">
        <f>J346+K346</f>
        <v/>
      </c>
      <c r="M346" s="21">
        <f>IF(I346&gt;=0.01,50,IF(I346&gt;=0.0095,37,IF(I346&gt;=0.009,25,12)))</f>
        <v/>
      </c>
      <c r="N346" s="21">
        <f>IF(L346&gt;=2000,30,IF(L346&gt;=1000,20,IF(L346&gt;=500,10,5)))</f>
        <v/>
      </c>
      <c r="O346" s="21" t="n">
        <v>13</v>
      </c>
      <c r="P346" s="22">
        <f>M346+N346+O346</f>
        <v/>
      </c>
      <c r="Q346" s="16" t="inlineStr">
        <is>
          <t>A11869046</t>
        </is>
      </c>
      <c r="R346" s="16" t="inlineStr"/>
      <c r="S346" s="16" t="inlineStr"/>
    </row>
    <row r="347">
      <c r="A347" s="15">
        <f>HYPERLINK("https://www.google.com/search?q=A11939871+Miami+MLS+listing", "A11939871")</f>
        <v/>
      </c>
      <c r="B347" s="16" t="inlineStr">
        <is>
          <t>1008 18th Ave N</t>
        </is>
      </c>
      <c r="C347" s="16" t="inlineStr">
        <is>
          <t>33460</t>
        </is>
      </c>
      <c r="D347" s="16" t="inlineStr">
        <is>
          <t>Palm Beach County</t>
        </is>
      </c>
      <c r="E347" s="16" t="inlineStr">
        <is>
          <t>Fourplex</t>
        </is>
      </c>
      <c r="F347" s="17" t="n">
        <v>4</v>
      </c>
      <c r="G347" s="18" t="n">
        <v>925000</v>
      </c>
      <c r="H347" s="18" t="n">
        <v>6850</v>
      </c>
      <c r="I347" s="19">
        <f>H347/G347</f>
        <v/>
      </c>
      <c r="J347" s="18">
        <f>H347*(1-Assumptions!$B$4)</f>
        <v/>
      </c>
      <c r="K347" s="20">
        <f>PMT(Assumptions!$B$2/12, 360, -G347*(1-Assumptions!$B$3))</f>
        <v/>
      </c>
      <c r="L347" s="20">
        <f>J347+K347</f>
        <v/>
      </c>
      <c r="M347" s="21">
        <f>IF(I347&gt;=0.01,50,IF(I347&gt;=0.0095,37,IF(I347&gt;=0.009,25,12)))</f>
        <v/>
      </c>
      <c r="N347" s="21">
        <f>IF(L347&gt;=2000,30,IF(L347&gt;=1000,20,IF(L347&gt;=500,10,5)))</f>
        <v/>
      </c>
      <c r="O347" s="21" t="n">
        <v>13</v>
      </c>
      <c r="P347" s="22">
        <f>M347+N347+O347</f>
        <v/>
      </c>
      <c r="Q347" s="16" t="inlineStr">
        <is>
          <t>A11939871</t>
        </is>
      </c>
      <c r="R347" s="16" t="inlineStr"/>
      <c r="S347" s="16" t="inlineStr"/>
    </row>
    <row r="348">
      <c r="A348" s="15">
        <f>HYPERLINK("https://www.google.com/search?q=A11948478+Miami+MLS+listing", "A11948478")</f>
        <v/>
      </c>
      <c r="B348" s="16" t="inlineStr">
        <is>
          <t>822 N 20th Ave</t>
        </is>
      </c>
      <c r="C348" s="16" t="inlineStr">
        <is>
          <t>33020</t>
        </is>
      </c>
      <c r="D348" s="16" t="inlineStr">
        <is>
          <t>Broward County</t>
        </is>
      </c>
      <c r="E348" s="16" t="inlineStr">
        <is>
          <t>Duplex</t>
        </is>
      </c>
      <c r="F348" s="17" t="n">
        <v>2</v>
      </c>
      <c r="G348" s="18" t="n">
        <v>535000</v>
      </c>
      <c r="H348" s="18" t="n">
        <v>1950</v>
      </c>
      <c r="I348" s="19">
        <f>H348/G348</f>
        <v/>
      </c>
      <c r="J348" s="18">
        <f>H348*(1-Assumptions!$B$4)</f>
        <v/>
      </c>
      <c r="K348" s="20">
        <f>PMT(Assumptions!$B$2/12, 360, -G348*(1-Assumptions!$B$3))</f>
        <v/>
      </c>
      <c r="L348" s="20">
        <f>J348+K348</f>
        <v/>
      </c>
      <c r="M348" s="21">
        <f>IF(I348&gt;=0.01,50,IF(I348&gt;=0.0095,37,IF(I348&gt;=0.009,25,12)))</f>
        <v/>
      </c>
      <c r="N348" s="21">
        <f>IF(L348&gt;=2000,30,IF(L348&gt;=1000,20,IF(L348&gt;=500,10,5)))</f>
        <v/>
      </c>
      <c r="O348" s="21" t="n">
        <v>13</v>
      </c>
      <c r="P348" s="22">
        <f>M348+N348+O348</f>
        <v/>
      </c>
      <c r="Q348" s="16" t="inlineStr">
        <is>
          <t>A11948478</t>
        </is>
      </c>
      <c r="R348" s="16" t="inlineStr"/>
      <c r="S348" s="16" t="inlineStr"/>
    </row>
    <row r="349">
      <c r="A349" s="15">
        <f>HYPERLINK("https://www.google.com/search?q=A11932130+Miami+MLS+listing", "A11932130")</f>
        <v/>
      </c>
      <c r="B349" s="16" t="inlineStr">
        <is>
          <t>1870 Gardenia Rd</t>
        </is>
      </c>
      <c r="C349" s="16" t="inlineStr">
        <is>
          <t>33317</t>
        </is>
      </c>
      <c r="D349" s="16" t="inlineStr">
        <is>
          <t>Broward County</t>
        </is>
      </c>
      <c r="E349" s="16" t="inlineStr">
        <is>
          <t>Duplex</t>
        </is>
      </c>
      <c r="F349" s="17" t="n">
        <v>2</v>
      </c>
      <c r="G349" s="18" t="n">
        <v>550000</v>
      </c>
      <c r="H349" s="18" t="n">
        <v>2200</v>
      </c>
      <c r="I349" s="19">
        <f>H349/G349</f>
        <v/>
      </c>
      <c r="J349" s="18">
        <f>H349*(1-Assumptions!$B$4)</f>
        <v/>
      </c>
      <c r="K349" s="20">
        <f>PMT(Assumptions!$B$2/12, 360, -G349*(1-Assumptions!$B$3))</f>
        <v/>
      </c>
      <c r="L349" s="20">
        <f>J349+K349</f>
        <v/>
      </c>
      <c r="M349" s="21">
        <f>IF(I349&gt;=0.01,50,IF(I349&gt;=0.0095,37,IF(I349&gt;=0.009,25,12)))</f>
        <v/>
      </c>
      <c r="N349" s="21">
        <f>IF(L349&gt;=2000,30,IF(L349&gt;=1000,20,IF(L349&gt;=500,10,5)))</f>
        <v/>
      </c>
      <c r="O349" s="21" t="n">
        <v>13</v>
      </c>
      <c r="P349" s="22">
        <f>M349+N349+O349</f>
        <v/>
      </c>
      <c r="Q349" s="16" t="inlineStr">
        <is>
          <t>A11932130</t>
        </is>
      </c>
      <c r="R349" s="16" t="inlineStr"/>
      <c r="S349" s="16" t="inlineStr"/>
    </row>
    <row r="350">
      <c r="A350" s="15">
        <f>HYPERLINK("https://www.google.com/search?q=A11873860+Miami+MLS+listing", "A11873860")</f>
        <v/>
      </c>
      <c r="B350" s="16" t="inlineStr">
        <is>
          <t>2033 Dewey St</t>
        </is>
      </c>
      <c r="C350" s="16" t="inlineStr">
        <is>
          <t>33020</t>
        </is>
      </c>
      <c r="D350" s="16" t="inlineStr">
        <is>
          <t>Broward County</t>
        </is>
      </c>
      <c r="E350" s="16" t="inlineStr">
        <is>
          <t>Duplex</t>
        </is>
      </c>
      <c r="F350" s="17" t="n">
        <v>2</v>
      </c>
      <c r="G350" s="18" t="n">
        <v>759000</v>
      </c>
      <c r="H350" s="18" t="n">
        <v>2000</v>
      </c>
      <c r="I350" s="19">
        <f>H350/G350</f>
        <v/>
      </c>
      <c r="J350" s="18">
        <f>H350*(1-Assumptions!$B$4)</f>
        <v/>
      </c>
      <c r="K350" s="20">
        <f>PMT(Assumptions!$B$2/12, 360, -G350*(1-Assumptions!$B$3))</f>
        <v/>
      </c>
      <c r="L350" s="20">
        <f>J350+K350</f>
        <v/>
      </c>
      <c r="M350" s="21">
        <f>IF(I350&gt;=0.01,50,IF(I350&gt;=0.0095,37,IF(I350&gt;=0.009,25,12)))</f>
        <v/>
      </c>
      <c r="N350" s="21">
        <f>IF(L350&gt;=2000,30,IF(L350&gt;=1000,20,IF(L350&gt;=500,10,5)))</f>
        <v/>
      </c>
      <c r="O350" s="21" t="n">
        <v>13</v>
      </c>
      <c r="P350" s="22">
        <f>M350+N350+O350</f>
        <v/>
      </c>
      <c r="Q350" s="16" t="inlineStr">
        <is>
          <t>A11873860</t>
        </is>
      </c>
      <c r="R350" s="16" t="inlineStr"/>
      <c r="S350" s="16" t="inlineStr"/>
    </row>
    <row r="351">
      <c r="A351" s="15">
        <f>HYPERLINK("https://www.google.com/search?q=A11831358+Miami+MLS+listing", "A11831358")</f>
        <v/>
      </c>
      <c r="B351" s="16" t="inlineStr">
        <is>
          <t>842 NW 1st Ave</t>
        </is>
      </c>
      <c r="C351" s="16" t="inlineStr">
        <is>
          <t>33311</t>
        </is>
      </c>
      <c r="D351" s="16" t="inlineStr">
        <is>
          <t>Broward County</t>
        </is>
      </c>
      <c r="E351" s="16" t="inlineStr">
        <is>
          <t>Fourplex</t>
        </is>
      </c>
      <c r="F351" s="17" t="n">
        <v>4</v>
      </c>
      <c r="G351" s="18" t="n">
        <v>1900000</v>
      </c>
      <c r="H351" s="18" t="n">
        <v>1750</v>
      </c>
      <c r="I351" s="19">
        <f>H351/G351</f>
        <v/>
      </c>
      <c r="J351" s="18">
        <f>H351*(1-Assumptions!$B$4)</f>
        <v/>
      </c>
      <c r="K351" s="20">
        <f>PMT(Assumptions!$B$2/12, 360, -G351*(1-Assumptions!$B$3))</f>
        <v/>
      </c>
      <c r="L351" s="20">
        <f>J351+K351</f>
        <v/>
      </c>
      <c r="M351" s="21">
        <f>IF(I351&gt;=0.01,50,IF(I351&gt;=0.0095,37,IF(I351&gt;=0.009,25,12)))</f>
        <v/>
      </c>
      <c r="N351" s="21">
        <f>IF(L351&gt;=2000,30,IF(L351&gt;=1000,20,IF(L351&gt;=500,10,5)))</f>
        <v/>
      </c>
      <c r="O351" s="21" t="n">
        <v>13</v>
      </c>
      <c r="P351" s="22">
        <f>M351+N351+O351</f>
        <v/>
      </c>
      <c r="Q351" s="16" t="inlineStr">
        <is>
          <t>A11831358</t>
        </is>
      </c>
      <c r="R351" s="16" t="inlineStr"/>
      <c r="S351" s="16" t="inlineStr"/>
    </row>
    <row r="352">
      <c r="A352" s="15">
        <f>HYPERLINK("https://www.google.com/search?q=A11922403+Miami+MLS+listing", "A11922403")</f>
        <v/>
      </c>
      <c r="B352" s="16" t="inlineStr">
        <is>
          <t>1615 NE 9th St</t>
        </is>
      </c>
      <c r="C352" s="16" t="inlineStr">
        <is>
          <t>33304</t>
        </is>
      </c>
      <c r="D352" s="16" t="inlineStr">
        <is>
          <t>Broward County</t>
        </is>
      </c>
      <c r="E352" s="16" t="inlineStr">
        <is>
          <t>Triplex</t>
        </is>
      </c>
      <c r="F352" s="17" t="n">
        <v>3</v>
      </c>
      <c r="G352" s="18" t="n">
        <v>1150000</v>
      </c>
      <c r="H352" s="18" t="n">
        <v>6500</v>
      </c>
      <c r="I352" s="19">
        <f>H352/G352</f>
        <v/>
      </c>
      <c r="J352" s="18">
        <f>H352*(1-Assumptions!$B$4)</f>
        <v/>
      </c>
      <c r="K352" s="20">
        <f>PMT(Assumptions!$B$2/12, 360, -G352*(1-Assumptions!$B$3))</f>
        <v/>
      </c>
      <c r="L352" s="20">
        <f>J352+K352</f>
        <v/>
      </c>
      <c r="M352" s="21">
        <f>IF(I352&gt;=0.01,50,IF(I352&gt;=0.0095,37,IF(I352&gt;=0.009,25,12)))</f>
        <v/>
      </c>
      <c r="N352" s="21">
        <f>IF(L352&gt;=2000,30,IF(L352&gt;=1000,20,IF(L352&gt;=500,10,5)))</f>
        <v/>
      </c>
      <c r="O352" s="21" t="n">
        <v>13</v>
      </c>
      <c r="P352" s="22">
        <f>M352+N352+O352</f>
        <v/>
      </c>
      <c r="Q352" s="16" t="inlineStr">
        <is>
          <t>A11922403</t>
        </is>
      </c>
      <c r="R352" s="16" t="inlineStr"/>
      <c r="S352" s="16" t="inlineStr"/>
    </row>
    <row r="353">
      <c r="A353" s="15">
        <f>HYPERLINK("https://www.google.com/search?q=A11786895+Miami+MLS+listing", "A11786895")</f>
        <v/>
      </c>
      <c r="B353" s="16" t="inlineStr">
        <is>
          <t>317 SE 10th Ave</t>
        </is>
      </c>
      <c r="C353" s="16" t="inlineStr">
        <is>
          <t>33060</t>
        </is>
      </c>
      <c r="D353" s="16" t="inlineStr">
        <is>
          <t>Broward County</t>
        </is>
      </c>
      <c r="E353" s="16" t="inlineStr">
        <is>
          <t>Fourplex</t>
        </is>
      </c>
      <c r="F353" s="17" t="n">
        <v>4</v>
      </c>
      <c r="G353" s="18" t="n">
        <v>880000</v>
      </c>
      <c r="H353" s="18" t="n">
        <v>6500</v>
      </c>
      <c r="I353" s="19">
        <f>H353/G353</f>
        <v/>
      </c>
      <c r="J353" s="18">
        <f>H353*(1-Assumptions!$B$4)</f>
        <v/>
      </c>
      <c r="K353" s="20">
        <f>PMT(Assumptions!$B$2/12, 360, -G353*(1-Assumptions!$B$3))</f>
        <v/>
      </c>
      <c r="L353" s="20">
        <f>J353+K353</f>
        <v/>
      </c>
      <c r="M353" s="21">
        <f>IF(I353&gt;=0.01,50,IF(I353&gt;=0.0095,37,IF(I353&gt;=0.009,25,12)))</f>
        <v/>
      </c>
      <c r="N353" s="21">
        <f>IF(L353&gt;=2000,30,IF(L353&gt;=1000,20,IF(L353&gt;=500,10,5)))</f>
        <v/>
      </c>
      <c r="O353" s="21" t="n">
        <v>13</v>
      </c>
      <c r="P353" s="22">
        <f>M353+N353+O353</f>
        <v/>
      </c>
      <c r="Q353" s="16" t="inlineStr">
        <is>
          <t>A11786895</t>
        </is>
      </c>
      <c r="R353" s="16" t="inlineStr"/>
      <c r="S353" s="16" t="inlineStr"/>
    </row>
    <row r="354">
      <c r="A354" s="15">
        <f>HYPERLINK("https://www.google.com/search?q=A11905653+Miami+MLS+listing", "A11905653")</f>
        <v/>
      </c>
      <c r="B354" s="16" t="inlineStr">
        <is>
          <t>1734 N 16th Ct</t>
        </is>
      </c>
      <c r="C354" s="16" t="inlineStr">
        <is>
          <t>33020</t>
        </is>
      </c>
      <c r="D354" s="16" t="inlineStr">
        <is>
          <t>Broward County</t>
        </is>
      </c>
      <c r="E354" s="16" t="inlineStr">
        <is>
          <t>Duplex</t>
        </is>
      </c>
      <c r="F354" s="17" t="n">
        <v>2</v>
      </c>
      <c r="G354" s="18" t="n">
        <v>599000</v>
      </c>
      <c r="H354" s="18" t="n">
        <v>1450</v>
      </c>
      <c r="I354" s="19">
        <f>H354/G354</f>
        <v/>
      </c>
      <c r="J354" s="18">
        <f>H354*(1-Assumptions!$B$4)</f>
        <v/>
      </c>
      <c r="K354" s="20">
        <f>PMT(Assumptions!$B$2/12, 360, -G354*(1-Assumptions!$B$3))</f>
        <v/>
      </c>
      <c r="L354" s="20">
        <f>J354+K354</f>
        <v/>
      </c>
      <c r="M354" s="21">
        <f>IF(I354&gt;=0.01,50,IF(I354&gt;=0.0095,37,IF(I354&gt;=0.009,25,12)))</f>
        <v/>
      </c>
      <c r="N354" s="21">
        <f>IF(L354&gt;=2000,30,IF(L354&gt;=1000,20,IF(L354&gt;=500,10,5)))</f>
        <v/>
      </c>
      <c r="O354" s="21" t="n">
        <v>13</v>
      </c>
      <c r="P354" s="22">
        <f>M354+N354+O354</f>
        <v/>
      </c>
      <c r="Q354" s="16" t="inlineStr">
        <is>
          <t>A11905653</t>
        </is>
      </c>
      <c r="R354" s="16" t="inlineStr"/>
      <c r="S354" s="16" t="inlineStr"/>
    </row>
    <row r="355">
      <c r="A355" s="15">
        <f>HYPERLINK("https://www.google.com/search?q=A11957775+Miami+MLS+listing", "A11957775")</f>
        <v/>
      </c>
      <c r="B355" s="16" t="inlineStr">
        <is>
          <t>338 SW 1st Ter</t>
        </is>
      </c>
      <c r="C355" s="16" t="inlineStr">
        <is>
          <t>33441</t>
        </is>
      </c>
      <c r="D355" s="16" t="inlineStr">
        <is>
          <t>Broward County</t>
        </is>
      </c>
      <c r="E355" s="16" t="inlineStr">
        <is>
          <t>Duplex</t>
        </is>
      </c>
      <c r="F355" s="17" t="n">
        <v>2</v>
      </c>
      <c r="G355" s="18" t="n">
        <v>400000</v>
      </c>
      <c r="H355" s="18" t="n">
        <v>3000</v>
      </c>
      <c r="I355" s="19">
        <f>H355/G355</f>
        <v/>
      </c>
      <c r="J355" s="18">
        <f>H355*(1-Assumptions!$B$4)</f>
        <v/>
      </c>
      <c r="K355" s="20">
        <f>PMT(Assumptions!$B$2/12, 360, -G355*(1-Assumptions!$B$3))</f>
        <v/>
      </c>
      <c r="L355" s="20">
        <f>J355+K355</f>
        <v/>
      </c>
      <c r="M355" s="21">
        <f>IF(I355&gt;=0.01,50,IF(I355&gt;=0.0095,37,IF(I355&gt;=0.009,25,12)))</f>
        <v/>
      </c>
      <c r="N355" s="21">
        <f>IF(L355&gt;=2000,30,IF(L355&gt;=1000,20,IF(L355&gt;=500,10,5)))</f>
        <v/>
      </c>
      <c r="O355" s="21" t="n">
        <v>13</v>
      </c>
      <c r="P355" s="22">
        <f>M355+N355+O355</f>
        <v/>
      </c>
      <c r="Q355" s="16" t="inlineStr">
        <is>
          <t>A11957775</t>
        </is>
      </c>
      <c r="R355" s="16" t="inlineStr"/>
      <c r="S355" s="16" t="inlineStr"/>
    </row>
    <row r="356">
      <c r="A356" s="15">
        <f>HYPERLINK("https://www.google.com/search?q=A11944407+Miami+MLS+listing", "A11944407")</f>
        <v/>
      </c>
      <c r="B356" s="16" t="inlineStr">
        <is>
          <t>1255 NW 27th Ave</t>
        </is>
      </c>
      <c r="C356" s="16" t="inlineStr">
        <is>
          <t>33311</t>
        </is>
      </c>
      <c r="D356" s="16" t="inlineStr">
        <is>
          <t>Broward County</t>
        </is>
      </c>
      <c r="E356" s="16" t="inlineStr">
        <is>
          <t>Duplex</t>
        </is>
      </c>
      <c r="F356" s="17" t="n">
        <v>2</v>
      </c>
      <c r="G356" s="18" t="n">
        <v>419900</v>
      </c>
      <c r="H356" s="18" t="n">
        <v>3000</v>
      </c>
      <c r="I356" s="19">
        <f>H356/G356</f>
        <v/>
      </c>
      <c r="J356" s="18">
        <f>H356*(1-Assumptions!$B$4)</f>
        <v/>
      </c>
      <c r="K356" s="20">
        <f>PMT(Assumptions!$B$2/12, 360, -G356*(1-Assumptions!$B$3))</f>
        <v/>
      </c>
      <c r="L356" s="20">
        <f>J356+K356</f>
        <v/>
      </c>
      <c r="M356" s="21">
        <f>IF(I356&gt;=0.01,50,IF(I356&gt;=0.0095,37,IF(I356&gt;=0.009,25,12)))</f>
        <v/>
      </c>
      <c r="N356" s="21">
        <f>IF(L356&gt;=2000,30,IF(L356&gt;=1000,20,IF(L356&gt;=500,10,5)))</f>
        <v/>
      </c>
      <c r="O356" s="21" t="n">
        <v>13</v>
      </c>
      <c r="P356" s="22">
        <f>M356+N356+O356</f>
        <v/>
      </c>
      <c r="Q356" s="16" t="inlineStr">
        <is>
          <t>A11944407</t>
        </is>
      </c>
      <c r="R356" s="16" t="inlineStr"/>
      <c r="S356" s="16" t="inlineStr"/>
    </row>
    <row r="357">
      <c r="A357" s="15">
        <f>HYPERLINK("https://www.google.com/search?q=A11889117+Miami+MLS+listing", "A11889117")</f>
        <v/>
      </c>
      <c r="B357" s="16" t="inlineStr">
        <is>
          <t>809 S Ocean Dr</t>
        </is>
      </c>
      <c r="C357" s="16" t="inlineStr">
        <is>
          <t>33019</t>
        </is>
      </c>
      <c r="D357" s="16" t="inlineStr">
        <is>
          <t>Broward County</t>
        </is>
      </c>
      <c r="E357" s="16" t="inlineStr">
        <is>
          <t>Fourplex</t>
        </is>
      </c>
      <c r="F357" s="17" t="n">
        <v>4</v>
      </c>
      <c r="G357" s="18" t="n">
        <v>5999000</v>
      </c>
      <c r="H357" s="18" t="n">
        <v>17000</v>
      </c>
      <c r="I357" s="19">
        <f>H357/G357</f>
        <v/>
      </c>
      <c r="J357" s="18">
        <f>H357*(1-Assumptions!$B$4)</f>
        <v/>
      </c>
      <c r="K357" s="20">
        <f>PMT(Assumptions!$B$2/12, 360, -G357*(1-Assumptions!$B$3))</f>
        <v/>
      </c>
      <c r="L357" s="20">
        <f>J357+K357</f>
        <v/>
      </c>
      <c r="M357" s="21">
        <f>IF(I357&gt;=0.01,50,IF(I357&gt;=0.0095,37,IF(I357&gt;=0.009,25,12)))</f>
        <v/>
      </c>
      <c r="N357" s="21">
        <f>IF(L357&gt;=2000,30,IF(L357&gt;=1000,20,IF(L357&gt;=500,10,5)))</f>
        <v/>
      </c>
      <c r="O357" s="21" t="n">
        <v>13</v>
      </c>
      <c r="P357" s="22">
        <f>M357+N357+O357</f>
        <v/>
      </c>
      <c r="Q357" s="16" t="inlineStr">
        <is>
          <t>A11889117</t>
        </is>
      </c>
      <c r="R357" s="16" t="inlineStr"/>
      <c r="S357" s="16" t="inlineStr"/>
    </row>
    <row r="358">
      <c r="A358" s="15">
        <f>HYPERLINK("https://www.google.com/search?q=A11959199+Miami+MLS+listing", "A11959199")</f>
        <v/>
      </c>
      <c r="B358" s="16" t="inlineStr">
        <is>
          <t>847 SW 29th St</t>
        </is>
      </c>
      <c r="C358" s="16" t="inlineStr">
        <is>
          <t>33315</t>
        </is>
      </c>
      <c r="D358" s="16" t="inlineStr">
        <is>
          <t>Broward County</t>
        </is>
      </c>
      <c r="E358" s="16" t="inlineStr">
        <is>
          <t>Duplex</t>
        </is>
      </c>
      <c r="F358" s="17" t="n">
        <v>2</v>
      </c>
      <c r="G358" s="18" t="n">
        <v>1850000</v>
      </c>
      <c r="H358" s="18" t="n">
        <v>10800</v>
      </c>
      <c r="I358" s="19">
        <f>H358/G358</f>
        <v/>
      </c>
      <c r="J358" s="18">
        <f>H358*(1-Assumptions!$B$4)</f>
        <v/>
      </c>
      <c r="K358" s="20">
        <f>PMT(Assumptions!$B$2/12, 360, -G358*(1-Assumptions!$B$3))</f>
        <v/>
      </c>
      <c r="L358" s="20">
        <f>J358+K358</f>
        <v/>
      </c>
      <c r="M358" s="21">
        <f>IF(I358&gt;=0.01,50,IF(I358&gt;=0.0095,37,IF(I358&gt;=0.009,25,12)))</f>
        <v/>
      </c>
      <c r="N358" s="21">
        <f>IF(L358&gt;=2000,30,IF(L358&gt;=1000,20,IF(L358&gt;=500,10,5)))</f>
        <v/>
      </c>
      <c r="O358" s="21" t="n">
        <v>13</v>
      </c>
      <c r="P358" s="22">
        <f>M358+N358+O358</f>
        <v/>
      </c>
      <c r="Q358" s="16" t="inlineStr">
        <is>
          <t>A11959199</t>
        </is>
      </c>
      <c r="R358" s="16" t="inlineStr"/>
      <c r="S358" s="16" t="inlineStr"/>
    </row>
    <row r="359">
      <c r="A359" s="15">
        <f>HYPERLINK("https://www.google.com/search?q=A11855351+Miami+MLS+listing", "A11855351")</f>
        <v/>
      </c>
      <c r="B359" s="16" t="inlineStr">
        <is>
          <t>700 SW 16th Ave</t>
        </is>
      </c>
      <c r="C359" s="16" t="inlineStr">
        <is>
          <t>33312</t>
        </is>
      </c>
      <c r="D359" s="16" t="inlineStr">
        <is>
          <t>Broward County</t>
        </is>
      </c>
      <c r="E359" s="16" t="inlineStr">
        <is>
          <t>Fourplex</t>
        </is>
      </c>
      <c r="F359" s="17" t="n">
        <v>4</v>
      </c>
      <c r="G359" s="18" t="n">
        <v>995000</v>
      </c>
      <c r="H359" s="18" t="n">
        <v>6675</v>
      </c>
      <c r="I359" s="19">
        <f>H359/G359</f>
        <v/>
      </c>
      <c r="J359" s="18">
        <f>H359*(1-Assumptions!$B$4)</f>
        <v/>
      </c>
      <c r="K359" s="20">
        <f>PMT(Assumptions!$B$2/12, 360, -G359*(1-Assumptions!$B$3))</f>
        <v/>
      </c>
      <c r="L359" s="20">
        <f>J359+K359</f>
        <v/>
      </c>
      <c r="M359" s="21">
        <f>IF(I359&gt;=0.01,50,IF(I359&gt;=0.0095,37,IF(I359&gt;=0.009,25,12)))</f>
        <v/>
      </c>
      <c r="N359" s="21">
        <f>IF(L359&gt;=2000,30,IF(L359&gt;=1000,20,IF(L359&gt;=500,10,5)))</f>
        <v/>
      </c>
      <c r="O359" s="21" t="n">
        <v>13</v>
      </c>
      <c r="P359" s="22">
        <f>M359+N359+O359</f>
        <v/>
      </c>
      <c r="Q359" s="16" t="inlineStr">
        <is>
          <t>A11855351</t>
        </is>
      </c>
      <c r="R359" s="16" t="inlineStr"/>
      <c r="S359" s="16" t="inlineStr"/>
    </row>
    <row r="360">
      <c r="A360" s="15">
        <f>HYPERLINK("https://www.google.com/search?q=A11779224+Miami+MLS+listing", "A11779224")</f>
        <v/>
      </c>
      <c r="B360" s="16" t="inlineStr">
        <is>
          <t>756 NW 5th St</t>
        </is>
      </c>
      <c r="C360" s="16" t="inlineStr">
        <is>
          <t>33009</t>
        </is>
      </c>
      <c r="D360" s="16" t="inlineStr">
        <is>
          <t>Broward County</t>
        </is>
      </c>
      <c r="E360" s="16" t="inlineStr">
        <is>
          <t>Duplex</t>
        </is>
      </c>
      <c r="F360" s="17" t="n">
        <v>2</v>
      </c>
      <c r="G360" s="18" t="n">
        <v>435000</v>
      </c>
      <c r="H360" s="18" t="n">
        <v>2900</v>
      </c>
      <c r="I360" s="19">
        <f>H360/G360</f>
        <v/>
      </c>
      <c r="J360" s="18">
        <f>H360*(1-Assumptions!$B$4)</f>
        <v/>
      </c>
      <c r="K360" s="20">
        <f>PMT(Assumptions!$B$2/12, 360, -G360*(1-Assumptions!$B$3))</f>
        <v/>
      </c>
      <c r="L360" s="20">
        <f>J360+K360</f>
        <v/>
      </c>
      <c r="M360" s="21">
        <f>IF(I360&gt;=0.01,50,IF(I360&gt;=0.0095,37,IF(I360&gt;=0.009,25,12)))</f>
        <v/>
      </c>
      <c r="N360" s="21">
        <f>IF(L360&gt;=2000,30,IF(L360&gt;=1000,20,IF(L360&gt;=500,10,5)))</f>
        <v/>
      </c>
      <c r="O360" s="21" t="n">
        <v>13</v>
      </c>
      <c r="P360" s="22">
        <f>M360+N360+O360</f>
        <v/>
      </c>
      <c r="Q360" s="16" t="inlineStr">
        <is>
          <t>A11779224</t>
        </is>
      </c>
      <c r="R360" s="16" t="inlineStr"/>
      <c r="S360" s="16" t="inlineStr"/>
    </row>
    <row r="361">
      <c r="A361" s="15">
        <f>HYPERLINK("https://www.google.com/search?q=A11927967+Miami+MLS+listing", "A11927967")</f>
        <v/>
      </c>
      <c r="B361" s="16" t="inlineStr">
        <is>
          <t>6124 Pembroke Rd</t>
        </is>
      </c>
      <c r="C361" s="16" t="inlineStr">
        <is>
          <t>33023</t>
        </is>
      </c>
      <c r="D361" s="16" t="inlineStr">
        <is>
          <t>Broward County</t>
        </is>
      </c>
      <c r="E361" s="16" t="inlineStr">
        <is>
          <t>Fourplex</t>
        </is>
      </c>
      <c r="F361" s="17" t="n">
        <v>4</v>
      </c>
      <c r="G361" s="18" t="n">
        <v>1350000</v>
      </c>
      <c r="H361" s="18" t="n">
        <v>2900</v>
      </c>
      <c r="I361" s="19">
        <f>H361/G361</f>
        <v/>
      </c>
      <c r="J361" s="18">
        <f>H361*(1-Assumptions!$B$4)</f>
        <v/>
      </c>
      <c r="K361" s="20">
        <f>PMT(Assumptions!$B$2/12, 360, -G361*(1-Assumptions!$B$3))</f>
        <v/>
      </c>
      <c r="L361" s="20">
        <f>J361+K361</f>
        <v/>
      </c>
      <c r="M361" s="21">
        <f>IF(I361&gt;=0.01,50,IF(I361&gt;=0.0095,37,IF(I361&gt;=0.009,25,12)))</f>
        <v/>
      </c>
      <c r="N361" s="21">
        <f>IF(L361&gt;=2000,30,IF(L361&gt;=1000,20,IF(L361&gt;=500,10,5)))</f>
        <v/>
      </c>
      <c r="O361" s="21" t="n">
        <v>13</v>
      </c>
      <c r="P361" s="22">
        <f>M361+N361+O361</f>
        <v/>
      </c>
      <c r="Q361" s="16" t="inlineStr">
        <is>
          <t>A11927967</t>
        </is>
      </c>
      <c r="R361" s="16" t="inlineStr"/>
      <c r="S361" s="16" t="inlineStr"/>
    </row>
    <row r="362">
      <c r="A362" s="15">
        <f>HYPERLINK("https://www.google.com/search?q=A11968878+Miami+MLS+listing", "A11968878")</f>
        <v/>
      </c>
      <c r="B362" s="16" t="inlineStr">
        <is>
          <t>2306 Simms St</t>
        </is>
      </c>
      <c r="C362" s="16" t="inlineStr">
        <is>
          <t>33020</t>
        </is>
      </c>
      <c r="D362" s="16" t="inlineStr">
        <is>
          <t>Broward County</t>
        </is>
      </c>
      <c r="E362" s="16" t="inlineStr">
        <is>
          <t>Duplex</t>
        </is>
      </c>
      <c r="F362" s="17" t="n">
        <v>2</v>
      </c>
      <c r="G362" s="18" t="n">
        <v>550000</v>
      </c>
      <c r="H362" s="18" t="n">
        <v>1600</v>
      </c>
      <c r="I362" s="19">
        <f>H362/G362</f>
        <v/>
      </c>
      <c r="J362" s="18">
        <f>H362*(1-Assumptions!$B$4)</f>
        <v/>
      </c>
      <c r="K362" s="20">
        <f>PMT(Assumptions!$B$2/12, 360, -G362*(1-Assumptions!$B$3))</f>
        <v/>
      </c>
      <c r="L362" s="20">
        <f>J362+K362</f>
        <v/>
      </c>
      <c r="M362" s="21">
        <f>IF(I362&gt;=0.01,50,IF(I362&gt;=0.0095,37,IF(I362&gt;=0.009,25,12)))</f>
        <v/>
      </c>
      <c r="N362" s="21">
        <f>IF(L362&gt;=2000,30,IF(L362&gt;=1000,20,IF(L362&gt;=500,10,5)))</f>
        <v/>
      </c>
      <c r="O362" s="21" t="n">
        <v>13</v>
      </c>
      <c r="P362" s="22">
        <f>M362+N362+O362</f>
        <v/>
      </c>
      <c r="Q362" s="16" t="inlineStr">
        <is>
          <t>A11968878</t>
        </is>
      </c>
      <c r="R362" s="16" t="inlineStr"/>
      <c r="S362" s="16" t="inlineStr"/>
    </row>
    <row r="363">
      <c r="A363" s="15">
        <f>HYPERLINK("https://www.google.com/search?q=A11947611+Miami+MLS+listing", "A11947611")</f>
        <v/>
      </c>
      <c r="B363" s="16" t="inlineStr">
        <is>
          <t>130-134 NW 57th St</t>
        </is>
      </c>
      <c r="C363" s="16" t="inlineStr">
        <is>
          <t>33309</t>
        </is>
      </c>
      <c r="D363" s="16" t="inlineStr">
        <is>
          <t>Broward County</t>
        </is>
      </c>
      <c r="E363" s="16" t="inlineStr">
        <is>
          <t>Duplex</t>
        </is>
      </c>
      <c r="F363" s="17" t="n">
        <v>2</v>
      </c>
      <c r="G363" s="18" t="n">
        <v>675000</v>
      </c>
      <c r="H363" s="18" t="n">
        <v>2800</v>
      </c>
      <c r="I363" s="19">
        <f>H363/G363</f>
        <v/>
      </c>
      <c r="J363" s="18">
        <f>H363*(1-Assumptions!$B$4)</f>
        <v/>
      </c>
      <c r="K363" s="20">
        <f>PMT(Assumptions!$B$2/12, 360, -G363*(1-Assumptions!$B$3))</f>
        <v/>
      </c>
      <c r="L363" s="20">
        <f>J363+K363</f>
        <v/>
      </c>
      <c r="M363" s="21">
        <f>IF(I363&gt;=0.01,50,IF(I363&gt;=0.0095,37,IF(I363&gt;=0.009,25,12)))</f>
        <v/>
      </c>
      <c r="N363" s="21">
        <f>IF(L363&gt;=2000,30,IF(L363&gt;=1000,20,IF(L363&gt;=500,10,5)))</f>
        <v/>
      </c>
      <c r="O363" s="21" t="n">
        <v>13</v>
      </c>
      <c r="P363" s="22">
        <f>M363+N363+O363</f>
        <v/>
      </c>
      <c r="Q363" s="16" t="inlineStr">
        <is>
          <t>A11947611</t>
        </is>
      </c>
      <c r="R363" s="16" t="inlineStr"/>
      <c r="S363" s="16" t="inlineStr"/>
    </row>
    <row r="364">
      <c r="A364" s="15">
        <f>HYPERLINK("https://www.google.com/search?q=A11901934+Miami+MLS+listing", "A11901934")</f>
        <v/>
      </c>
      <c r="B364" s="16" t="inlineStr">
        <is>
          <t>798 NE 43 ST</t>
        </is>
      </c>
      <c r="C364" s="16" t="inlineStr">
        <is>
          <t>33334</t>
        </is>
      </c>
      <c r="D364" s="16" t="inlineStr">
        <is>
          <t>Broward County</t>
        </is>
      </c>
      <c r="E364" s="16" t="inlineStr">
        <is>
          <t>Duplex</t>
        </is>
      </c>
      <c r="F364" s="17" t="n">
        <v>2</v>
      </c>
      <c r="G364" s="18" t="n">
        <v>900000</v>
      </c>
      <c r="H364" s="18" t="n">
        <v>2730</v>
      </c>
      <c r="I364" s="19">
        <f>H364/G364</f>
        <v/>
      </c>
      <c r="J364" s="18">
        <f>H364*(1-Assumptions!$B$4)</f>
        <v/>
      </c>
      <c r="K364" s="20">
        <f>PMT(Assumptions!$B$2/12, 360, -G364*(1-Assumptions!$B$3))</f>
        <v/>
      </c>
      <c r="L364" s="20">
        <f>J364+K364</f>
        <v/>
      </c>
      <c r="M364" s="21">
        <f>IF(I364&gt;=0.01,50,IF(I364&gt;=0.0095,37,IF(I364&gt;=0.009,25,12)))</f>
        <v/>
      </c>
      <c r="N364" s="21">
        <f>IF(L364&gt;=2000,30,IF(L364&gt;=1000,20,IF(L364&gt;=500,10,5)))</f>
        <v/>
      </c>
      <c r="O364" s="21" t="n">
        <v>13</v>
      </c>
      <c r="P364" s="22">
        <f>M364+N364+O364</f>
        <v/>
      </c>
      <c r="Q364" s="16" t="inlineStr">
        <is>
          <t>A11901934</t>
        </is>
      </c>
      <c r="R364" s="16" t="inlineStr"/>
      <c r="S364" s="16" t="inlineStr"/>
    </row>
    <row r="365">
      <c r="A365" s="15">
        <f>HYPERLINK("https://www.google.com/search?q=A11711912+Miami+MLS+listing", "A11711912")</f>
        <v/>
      </c>
      <c r="B365" s="16" t="inlineStr">
        <is>
          <t>210 SE 10th St</t>
        </is>
      </c>
      <c r="C365" s="16" t="inlineStr">
        <is>
          <t>33009</t>
        </is>
      </c>
      <c r="D365" s="16" t="inlineStr">
        <is>
          <t>Broward County</t>
        </is>
      </c>
      <c r="E365" s="16" t="inlineStr">
        <is>
          <t>Triplex</t>
        </is>
      </c>
      <c r="F365" s="17" t="n">
        <v>3</v>
      </c>
      <c r="G365" s="18" t="n">
        <v>2850000</v>
      </c>
      <c r="H365" s="18" t="n">
        <v>15000</v>
      </c>
      <c r="I365" s="19">
        <f>H365/G365</f>
        <v/>
      </c>
      <c r="J365" s="18">
        <f>H365*(1-Assumptions!$B$4)</f>
        <v/>
      </c>
      <c r="K365" s="20">
        <f>PMT(Assumptions!$B$2/12, 360, -G365*(1-Assumptions!$B$3))</f>
        <v/>
      </c>
      <c r="L365" s="20">
        <f>J365+K365</f>
        <v/>
      </c>
      <c r="M365" s="21">
        <f>IF(I365&gt;=0.01,50,IF(I365&gt;=0.0095,37,IF(I365&gt;=0.009,25,12)))</f>
        <v/>
      </c>
      <c r="N365" s="21">
        <f>IF(L365&gt;=2000,30,IF(L365&gt;=1000,20,IF(L365&gt;=500,10,5)))</f>
        <v/>
      </c>
      <c r="O365" s="21" t="n">
        <v>13</v>
      </c>
      <c r="P365" s="22">
        <f>M365+N365+O365</f>
        <v/>
      </c>
      <c r="Q365" s="16" t="inlineStr">
        <is>
          <t>A11711912</t>
        </is>
      </c>
      <c r="R365" s="16" t="inlineStr"/>
      <c r="S365" s="16" t="inlineStr"/>
    </row>
    <row r="366">
      <c r="A366" s="15">
        <f>HYPERLINK("https://www.google.com/search?q=A11959029+Miami+MLS+listing", "A11959029")</f>
        <v/>
      </c>
      <c r="B366" s="16" t="inlineStr">
        <is>
          <t>1913 SW Gardenia Rd</t>
        </is>
      </c>
      <c r="C366" s="16" t="inlineStr">
        <is>
          <t>33317</t>
        </is>
      </c>
      <c r="D366" s="16" t="inlineStr">
        <is>
          <t>Broward County</t>
        </is>
      </c>
      <c r="E366" s="16" t="inlineStr">
        <is>
          <t>Duplex</t>
        </is>
      </c>
      <c r="F366" s="17" t="n">
        <v>2</v>
      </c>
      <c r="G366" s="18" t="n">
        <v>780000</v>
      </c>
      <c r="H366" s="18" t="n">
        <v>6900</v>
      </c>
      <c r="I366" s="19">
        <f>H366/G366</f>
        <v/>
      </c>
      <c r="J366" s="18">
        <f>H366*(1-Assumptions!$B$4)</f>
        <v/>
      </c>
      <c r="K366" s="20">
        <f>PMT(Assumptions!$B$2/12, 360, -G366*(1-Assumptions!$B$3))</f>
        <v/>
      </c>
      <c r="L366" s="20">
        <f>J366+K366</f>
        <v/>
      </c>
      <c r="M366" s="21">
        <f>IF(I366&gt;=0.01,50,IF(I366&gt;=0.0095,37,IF(I366&gt;=0.009,25,12)))</f>
        <v/>
      </c>
      <c r="N366" s="21">
        <f>IF(L366&gt;=2000,30,IF(L366&gt;=1000,20,IF(L366&gt;=500,10,5)))</f>
        <v/>
      </c>
      <c r="O366" s="21" t="n">
        <v>13</v>
      </c>
      <c r="P366" s="22">
        <f>M366+N366+O366</f>
        <v/>
      </c>
      <c r="Q366" s="16" t="inlineStr">
        <is>
          <t>A11959029</t>
        </is>
      </c>
      <c r="R366" s="16" t="inlineStr"/>
      <c r="S366" s="16" t="inlineStr"/>
    </row>
    <row r="367">
      <c r="A367" s="15">
        <f>HYPERLINK("https://www.google.com/search?q=A11872283+Miami+MLS+listing", "A11872283")</f>
        <v/>
      </c>
      <c r="B367" s="16" t="inlineStr">
        <is>
          <t>811-817 NW 3rd Ave</t>
        </is>
      </c>
      <c r="C367" s="16" t="inlineStr">
        <is>
          <t>33311</t>
        </is>
      </c>
      <c r="D367" s="16" t="inlineStr">
        <is>
          <t>Broward County</t>
        </is>
      </c>
      <c r="E367" s="16" t="inlineStr">
        <is>
          <t>Fourplex</t>
        </is>
      </c>
      <c r="F367" s="17" t="n">
        <v>4</v>
      </c>
      <c r="G367" s="18" t="n">
        <v>1675000</v>
      </c>
      <c r="H367" s="18" t="n">
        <v>11200</v>
      </c>
      <c r="I367" s="19">
        <f>H367/G367</f>
        <v/>
      </c>
      <c r="J367" s="18">
        <f>H367*(1-Assumptions!$B$4)</f>
        <v/>
      </c>
      <c r="K367" s="20">
        <f>PMT(Assumptions!$B$2/12, 360, -G367*(1-Assumptions!$B$3))</f>
        <v/>
      </c>
      <c r="L367" s="20">
        <f>J367+K367</f>
        <v/>
      </c>
      <c r="M367" s="21">
        <f>IF(I367&gt;=0.01,50,IF(I367&gt;=0.0095,37,IF(I367&gt;=0.009,25,12)))</f>
        <v/>
      </c>
      <c r="N367" s="21">
        <f>IF(L367&gt;=2000,30,IF(L367&gt;=1000,20,IF(L367&gt;=500,10,5)))</f>
        <v/>
      </c>
      <c r="O367" s="21" t="n">
        <v>13</v>
      </c>
      <c r="P367" s="22">
        <f>M367+N367+O367</f>
        <v/>
      </c>
      <c r="Q367" s="16" t="inlineStr">
        <is>
          <t>A11872283</t>
        </is>
      </c>
      <c r="R367" s="16" t="inlineStr"/>
      <c r="S367" s="16" t="inlineStr"/>
    </row>
    <row r="368">
      <c r="A368" s="15">
        <f>HYPERLINK("https://www.google.com/search?q=A11965234+Miami+MLS+listing", "A11965234")</f>
        <v/>
      </c>
      <c r="B368" s="16" t="inlineStr">
        <is>
          <t>1450 NW 19th Ct</t>
        </is>
      </c>
      <c r="C368" s="16" t="inlineStr">
        <is>
          <t>33311</t>
        </is>
      </c>
      <c r="D368" s="16" t="inlineStr">
        <is>
          <t>Broward County</t>
        </is>
      </c>
      <c r="E368" s="16" t="inlineStr">
        <is>
          <t>Duplex</t>
        </is>
      </c>
      <c r="F368" s="17" t="n">
        <v>2</v>
      </c>
      <c r="G368" s="18" t="n">
        <v>485000</v>
      </c>
      <c r="H368" s="18" t="n">
        <v>2600</v>
      </c>
      <c r="I368" s="19">
        <f>H368/G368</f>
        <v/>
      </c>
      <c r="J368" s="18">
        <f>H368*(1-Assumptions!$B$4)</f>
        <v/>
      </c>
      <c r="K368" s="20">
        <f>PMT(Assumptions!$B$2/12, 360, -G368*(1-Assumptions!$B$3))</f>
        <v/>
      </c>
      <c r="L368" s="20">
        <f>J368+K368</f>
        <v/>
      </c>
      <c r="M368" s="21">
        <f>IF(I368&gt;=0.01,50,IF(I368&gt;=0.0095,37,IF(I368&gt;=0.009,25,12)))</f>
        <v/>
      </c>
      <c r="N368" s="21">
        <f>IF(L368&gt;=2000,30,IF(L368&gt;=1000,20,IF(L368&gt;=500,10,5)))</f>
        <v/>
      </c>
      <c r="O368" s="21" t="n">
        <v>13</v>
      </c>
      <c r="P368" s="22">
        <f>M368+N368+O368</f>
        <v/>
      </c>
      <c r="Q368" s="16" t="inlineStr">
        <is>
          <t>A11965234</t>
        </is>
      </c>
      <c r="R368" s="16" t="inlineStr"/>
      <c r="S368" s="16" t="inlineStr"/>
    </row>
    <row r="369">
      <c r="A369" s="15">
        <f>HYPERLINK("https://www.google.com/search?q=A11967531+Miami+MLS+listing", "A11967531")</f>
        <v/>
      </c>
      <c r="B369" s="16" t="inlineStr">
        <is>
          <t>20 SE 12th St</t>
        </is>
      </c>
      <c r="C369" s="16" t="inlineStr">
        <is>
          <t>33004</t>
        </is>
      </c>
      <c r="D369" s="16" t="inlineStr">
        <is>
          <t>Broward County</t>
        </is>
      </c>
      <c r="E369" s="16" t="inlineStr">
        <is>
          <t>Duplex</t>
        </is>
      </c>
      <c r="F369" s="17" t="n">
        <v>2</v>
      </c>
      <c r="G369" s="18" t="n">
        <v>795500</v>
      </c>
      <c r="H369" s="18" t="n">
        <v>7136</v>
      </c>
      <c r="I369" s="19">
        <f>H369/G369</f>
        <v/>
      </c>
      <c r="J369" s="18">
        <f>H369*(1-Assumptions!$B$4)</f>
        <v/>
      </c>
      <c r="K369" s="20">
        <f>PMT(Assumptions!$B$2/12, 360, -G369*(1-Assumptions!$B$3))</f>
        <v/>
      </c>
      <c r="L369" s="20">
        <f>J369+K369</f>
        <v/>
      </c>
      <c r="M369" s="21">
        <f>IF(I369&gt;=0.01,50,IF(I369&gt;=0.0095,37,IF(I369&gt;=0.009,25,12)))</f>
        <v/>
      </c>
      <c r="N369" s="21">
        <f>IF(L369&gt;=2000,30,IF(L369&gt;=1000,20,IF(L369&gt;=500,10,5)))</f>
        <v/>
      </c>
      <c r="O369" s="21" t="n">
        <v>13</v>
      </c>
      <c r="P369" s="22">
        <f>M369+N369+O369</f>
        <v/>
      </c>
      <c r="Q369" s="16" t="inlineStr">
        <is>
          <t>A11967531</t>
        </is>
      </c>
      <c r="R369" s="16" t="inlineStr"/>
      <c r="S369" s="16" t="inlineStr"/>
    </row>
    <row r="370">
      <c r="A370" s="15">
        <f>HYPERLINK("https://www.google.com/search?q=A11860443+Miami+MLS+listing", "A11860443")</f>
        <v/>
      </c>
      <c r="B370" s="16" t="inlineStr">
        <is>
          <t>4951 SW 26th Ave</t>
        </is>
      </c>
      <c r="C370" s="16" t="inlineStr">
        <is>
          <t>33312</t>
        </is>
      </c>
      <c r="D370" s="16" t="inlineStr">
        <is>
          <t>Broward County</t>
        </is>
      </c>
      <c r="E370" s="16" t="inlineStr">
        <is>
          <t>Duplex</t>
        </is>
      </c>
      <c r="F370" s="17" t="n">
        <v>2</v>
      </c>
      <c r="G370" s="18" t="n">
        <v>650000</v>
      </c>
      <c r="H370" s="18" t="n">
        <v>3900</v>
      </c>
      <c r="I370" s="19">
        <f>H370/G370</f>
        <v/>
      </c>
      <c r="J370" s="18">
        <f>H370*(1-Assumptions!$B$4)</f>
        <v/>
      </c>
      <c r="K370" s="20">
        <f>PMT(Assumptions!$B$2/12, 360, -G370*(1-Assumptions!$B$3))</f>
        <v/>
      </c>
      <c r="L370" s="20">
        <f>J370+K370</f>
        <v/>
      </c>
      <c r="M370" s="21">
        <f>IF(I370&gt;=0.01,50,IF(I370&gt;=0.0095,37,IF(I370&gt;=0.009,25,12)))</f>
        <v/>
      </c>
      <c r="N370" s="21">
        <f>IF(L370&gt;=2000,30,IF(L370&gt;=1000,20,IF(L370&gt;=500,10,5)))</f>
        <v/>
      </c>
      <c r="O370" s="21" t="n">
        <v>13</v>
      </c>
      <c r="P370" s="22">
        <f>M370+N370+O370</f>
        <v/>
      </c>
      <c r="Q370" s="16" t="inlineStr">
        <is>
          <t>A11860443</t>
        </is>
      </c>
      <c r="R370" s="16" t="inlineStr"/>
      <c r="S370" s="16" t="inlineStr"/>
    </row>
    <row r="371">
      <c r="A371" s="15">
        <f>HYPERLINK("https://www.google.com/search?q=A11718487+Miami+MLS+listing", "A11718487")</f>
        <v/>
      </c>
      <c r="B371" s="16" t="inlineStr">
        <is>
          <t>1515 NW 2nd Ave</t>
        </is>
      </c>
      <c r="C371" s="16" t="inlineStr">
        <is>
          <t>33311</t>
        </is>
      </c>
      <c r="D371" s="16" t="inlineStr">
        <is>
          <t>Broward County</t>
        </is>
      </c>
      <c r="E371" s="16" t="inlineStr">
        <is>
          <t>Duplex</t>
        </is>
      </c>
      <c r="F371" s="17" t="n">
        <v>2</v>
      </c>
      <c r="G371" s="18" t="n">
        <v>520000</v>
      </c>
      <c r="H371" s="18" t="n">
        <v>3600</v>
      </c>
      <c r="I371" s="19">
        <f>H371/G371</f>
        <v/>
      </c>
      <c r="J371" s="18">
        <f>H371*(1-Assumptions!$B$4)</f>
        <v/>
      </c>
      <c r="K371" s="20">
        <f>PMT(Assumptions!$B$2/12, 360, -G371*(1-Assumptions!$B$3))</f>
        <v/>
      </c>
      <c r="L371" s="20">
        <f>J371+K371</f>
        <v/>
      </c>
      <c r="M371" s="21">
        <f>IF(I371&gt;=0.01,50,IF(I371&gt;=0.0095,37,IF(I371&gt;=0.009,25,12)))</f>
        <v/>
      </c>
      <c r="N371" s="21">
        <f>IF(L371&gt;=2000,30,IF(L371&gt;=1000,20,IF(L371&gt;=500,10,5)))</f>
        <v/>
      </c>
      <c r="O371" s="21" t="n">
        <v>13</v>
      </c>
      <c r="P371" s="22">
        <f>M371+N371+O371</f>
        <v/>
      </c>
      <c r="Q371" s="16" t="inlineStr">
        <is>
          <t>A11718487</t>
        </is>
      </c>
      <c r="R371" s="16" t="inlineStr"/>
      <c r="S371" s="16" t="inlineStr"/>
    </row>
    <row r="372">
      <c r="A372" s="15">
        <f>HYPERLINK("https://www.google.com/search?q=A11935984+Miami+MLS+listing", "A11935984")</f>
        <v/>
      </c>
      <c r="B372" s="16" t="inlineStr">
        <is>
          <t>3620 NW 91st Ave</t>
        </is>
      </c>
      <c r="C372" s="16" t="inlineStr">
        <is>
          <t>33351</t>
        </is>
      </c>
      <c r="D372" s="16" t="inlineStr">
        <is>
          <t>Broward County</t>
        </is>
      </c>
      <c r="E372" s="16" t="inlineStr">
        <is>
          <t>Fourplex</t>
        </is>
      </c>
      <c r="F372" s="17" t="n">
        <v>4</v>
      </c>
      <c r="G372" s="18" t="n">
        <v>925000</v>
      </c>
      <c r="H372" s="18" t="n">
        <v>5800</v>
      </c>
      <c r="I372" s="19">
        <f>H372/G372</f>
        <v/>
      </c>
      <c r="J372" s="18">
        <f>H372*(1-Assumptions!$B$4)</f>
        <v/>
      </c>
      <c r="K372" s="20">
        <f>PMT(Assumptions!$B$2/12, 360, -G372*(1-Assumptions!$B$3))</f>
        <v/>
      </c>
      <c r="L372" s="20">
        <f>J372+K372</f>
        <v/>
      </c>
      <c r="M372" s="21">
        <f>IF(I372&gt;=0.01,50,IF(I372&gt;=0.0095,37,IF(I372&gt;=0.009,25,12)))</f>
        <v/>
      </c>
      <c r="N372" s="21">
        <f>IF(L372&gt;=2000,30,IF(L372&gt;=1000,20,IF(L372&gt;=500,10,5)))</f>
        <v/>
      </c>
      <c r="O372" s="21" t="n">
        <v>13</v>
      </c>
      <c r="P372" s="22">
        <f>M372+N372+O372</f>
        <v/>
      </c>
      <c r="Q372" s="16" t="inlineStr">
        <is>
          <t>A11935984</t>
        </is>
      </c>
      <c r="R372" s="16" t="inlineStr"/>
      <c r="S372" s="16" t="inlineStr"/>
    </row>
    <row r="373">
      <c r="A373" s="15">
        <f>HYPERLINK("https://www.google.com/search?q=A11932658+Miami+MLS+listing", "A11932658")</f>
        <v/>
      </c>
      <c r="B373" s="16" t="inlineStr">
        <is>
          <t>1457 Atlantic Shores Blvd</t>
        </is>
      </c>
      <c r="C373" s="16" t="inlineStr">
        <is>
          <t>33009</t>
        </is>
      </c>
      <c r="D373" s="16" t="inlineStr">
        <is>
          <t>Broward County</t>
        </is>
      </c>
      <c r="E373" s="16" t="inlineStr">
        <is>
          <t>Fourplex</t>
        </is>
      </c>
      <c r="F373" s="17" t="n">
        <v>4</v>
      </c>
      <c r="G373" s="18" t="n">
        <v>1200000</v>
      </c>
      <c r="H373" s="18" t="n">
        <v>7600</v>
      </c>
      <c r="I373" s="19">
        <f>H373/G373</f>
        <v/>
      </c>
      <c r="J373" s="18">
        <f>H373*(1-Assumptions!$B$4)</f>
        <v/>
      </c>
      <c r="K373" s="20">
        <f>PMT(Assumptions!$B$2/12, 360, -G373*(1-Assumptions!$B$3))</f>
        <v/>
      </c>
      <c r="L373" s="20">
        <f>J373+K373</f>
        <v/>
      </c>
      <c r="M373" s="21">
        <f>IF(I373&gt;=0.01,50,IF(I373&gt;=0.0095,37,IF(I373&gt;=0.009,25,12)))</f>
        <v/>
      </c>
      <c r="N373" s="21">
        <f>IF(L373&gt;=2000,30,IF(L373&gt;=1000,20,IF(L373&gt;=500,10,5)))</f>
        <v/>
      </c>
      <c r="O373" s="21" t="n">
        <v>13</v>
      </c>
      <c r="P373" s="22">
        <f>M373+N373+O373</f>
        <v/>
      </c>
      <c r="Q373" s="16" t="inlineStr">
        <is>
          <t>A11932658</t>
        </is>
      </c>
      <c r="R373" s="16" t="inlineStr"/>
      <c r="S373" s="16" t="inlineStr"/>
    </row>
    <row r="374">
      <c r="A374" s="15">
        <f>HYPERLINK("https://www.google.com/search?q=A11619140+Miami+MLS+listing", "A11619140")</f>
        <v/>
      </c>
      <c r="B374" s="16" t="inlineStr">
        <is>
          <t>1711 Buchanan St</t>
        </is>
      </c>
      <c r="C374" s="16" t="inlineStr">
        <is>
          <t>33020</t>
        </is>
      </c>
      <c r="D374" s="16" t="inlineStr">
        <is>
          <t>Broward County</t>
        </is>
      </c>
      <c r="E374" s="16" t="inlineStr">
        <is>
          <t>Fourplex</t>
        </is>
      </c>
      <c r="F374" s="17" t="n">
        <v>4</v>
      </c>
      <c r="G374" s="18" t="n">
        <v>799000</v>
      </c>
      <c r="H374" s="18" t="n">
        <v>5041</v>
      </c>
      <c r="I374" s="19">
        <f>H374/G374</f>
        <v/>
      </c>
      <c r="J374" s="18">
        <f>H374*(1-Assumptions!$B$4)</f>
        <v/>
      </c>
      <c r="K374" s="20">
        <f>PMT(Assumptions!$B$2/12, 360, -G374*(1-Assumptions!$B$3))</f>
        <v/>
      </c>
      <c r="L374" s="20">
        <f>J374+K374</f>
        <v/>
      </c>
      <c r="M374" s="21">
        <f>IF(I374&gt;=0.01,50,IF(I374&gt;=0.0095,37,IF(I374&gt;=0.009,25,12)))</f>
        <v/>
      </c>
      <c r="N374" s="21">
        <f>IF(L374&gt;=2000,30,IF(L374&gt;=1000,20,IF(L374&gt;=500,10,5)))</f>
        <v/>
      </c>
      <c r="O374" s="21" t="n">
        <v>13</v>
      </c>
      <c r="P374" s="22">
        <f>M374+N374+O374</f>
        <v/>
      </c>
      <c r="Q374" s="16" t="inlineStr">
        <is>
          <t>A11619140</t>
        </is>
      </c>
      <c r="R374" s="16" t="inlineStr"/>
      <c r="S374" s="16" t="inlineStr"/>
    </row>
    <row r="375">
      <c r="A375" s="15">
        <f>HYPERLINK("https://www.google.com/search?q=A11968187+Miami+MLS+listing", "A11968187")</f>
        <v/>
      </c>
      <c r="B375" s="16" t="inlineStr">
        <is>
          <t>110 S B St</t>
        </is>
      </c>
      <c r="C375" s="16" t="inlineStr">
        <is>
          <t>33460</t>
        </is>
      </c>
      <c r="D375" s="16" t="inlineStr">
        <is>
          <t>Palm Beach County</t>
        </is>
      </c>
      <c r="E375" s="16" t="inlineStr">
        <is>
          <t>Fourplex</t>
        </is>
      </c>
      <c r="F375" s="17" t="n">
        <v>4</v>
      </c>
      <c r="G375" s="18" t="n">
        <v>975000</v>
      </c>
      <c r="H375" s="18" t="n">
        <v>5030</v>
      </c>
      <c r="I375" s="19">
        <f>H375/G375</f>
        <v/>
      </c>
      <c r="J375" s="18">
        <f>H375*(1-Assumptions!$B$4)</f>
        <v/>
      </c>
      <c r="K375" s="20">
        <f>PMT(Assumptions!$B$2/12, 360, -G375*(1-Assumptions!$B$3))</f>
        <v/>
      </c>
      <c r="L375" s="20">
        <f>J375+K375</f>
        <v/>
      </c>
      <c r="M375" s="21">
        <f>IF(I375&gt;=0.01,50,IF(I375&gt;=0.0095,37,IF(I375&gt;=0.009,25,12)))</f>
        <v/>
      </c>
      <c r="N375" s="21">
        <f>IF(L375&gt;=2000,30,IF(L375&gt;=1000,20,IF(L375&gt;=500,10,5)))</f>
        <v/>
      </c>
      <c r="O375" s="21" t="n">
        <v>13</v>
      </c>
      <c r="P375" s="22">
        <f>M375+N375+O375</f>
        <v/>
      </c>
      <c r="Q375" s="16" t="inlineStr">
        <is>
          <t>A11968187</t>
        </is>
      </c>
      <c r="R375" s="16" t="inlineStr"/>
      <c r="S375" s="16" t="inlineStr"/>
    </row>
    <row r="376">
      <c r="A376" s="15">
        <f>HYPERLINK("https://www.google.com/search?q=A11971352+Miami+MLS+listing", "A11971352")</f>
        <v/>
      </c>
      <c r="B376" s="16" t="inlineStr">
        <is>
          <t>714 S F St</t>
        </is>
      </c>
      <c r="C376" s="16" t="inlineStr">
        <is>
          <t>33460</t>
        </is>
      </c>
      <c r="D376" s="16" t="inlineStr">
        <is>
          <t>Palm Beach County</t>
        </is>
      </c>
      <c r="E376" s="16" t="inlineStr">
        <is>
          <t>Fourplex</t>
        </is>
      </c>
      <c r="F376" s="17" t="n">
        <v>4</v>
      </c>
      <c r="G376" s="18" t="n">
        <v>1900000</v>
      </c>
      <c r="H376" s="18" t="n">
        <v>5800</v>
      </c>
      <c r="I376" s="19">
        <f>H376/G376</f>
        <v/>
      </c>
      <c r="J376" s="18">
        <f>H376*(1-Assumptions!$B$4)</f>
        <v/>
      </c>
      <c r="K376" s="20">
        <f>PMT(Assumptions!$B$2/12, 360, -G376*(1-Assumptions!$B$3))</f>
        <v/>
      </c>
      <c r="L376" s="20">
        <f>J376+K376</f>
        <v/>
      </c>
      <c r="M376" s="21">
        <f>IF(I376&gt;=0.01,50,IF(I376&gt;=0.0095,37,IF(I376&gt;=0.009,25,12)))</f>
        <v/>
      </c>
      <c r="N376" s="21">
        <f>IF(L376&gt;=2000,30,IF(L376&gt;=1000,20,IF(L376&gt;=500,10,5)))</f>
        <v/>
      </c>
      <c r="O376" s="21" t="n">
        <v>13</v>
      </c>
      <c r="P376" s="22">
        <f>M376+N376+O376</f>
        <v/>
      </c>
      <c r="Q376" s="16" t="inlineStr">
        <is>
          <t>A11971352</t>
        </is>
      </c>
      <c r="R376" s="16" t="inlineStr"/>
      <c r="S376" s="16" t="inlineStr"/>
    </row>
    <row r="377">
      <c r="A377" s="15">
        <f>HYPERLINK("https://www.google.com/search?q=A11940088+Miami+MLS+listing", "A11940088")</f>
        <v/>
      </c>
      <c r="B377" s="16" t="inlineStr">
        <is>
          <t>700 NW 18th St</t>
        </is>
      </c>
      <c r="C377" s="16" t="inlineStr">
        <is>
          <t>33311</t>
        </is>
      </c>
      <c r="D377" s="16" t="inlineStr">
        <is>
          <t>Broward County</t>
        </is>
      </c>
      <c r="E377" s="16" t="inlineStr">
        <is>
          <t>Duplex</t>
        </is>
      </c>
      <c r="F377" s="17" t="n">
        <v>2</v>
      </c>
      <c r="G377" s="18" t="n">
        <v>875000</v>
      </c>
      <c r="H377" s="18" t="n">
        <v>7650</v>
      </c>
      <c r="I377" s="19">
        <f>H377/G377</f>
        <v/>
      </c>
      <c r="J377" s="18">
        <f>H377*(1-Assumptions!$B$4)</f>
        <v/>
      </c>
      <c r="K377" s="20">
        <f>PMT(Assumptions!$B$2/12, 360, -G377*(1-Assumptions!$B$3))</f>
        <v/>
      </c>
      <c r="L377" s="20">
        <f>J377+K377</f>
        <v/>
      </c>
      <c r="M377" s="21">
        <f>IF(I377&gt;=0.01,50,IF(I377&gt;=0.0095,37,IF(I377&gt;=0.009,25,12)))</f>
        <v/>
      </c>
      <c r="N377" s="21">
        <f>IF(L377&gt;=2000,30,IF(L377&gt;=1000,20,IF(L377&gt;=500,10,5)))</f>
        <v/>
      </c>
      <c r="O377" s="21" t="n">
        <v>13</v>
      </c>
      <c r="P377" s="22">
        <f>M377+N377+O377</f>
        <v/>
      </c>
      <c r="Q377" s="16" t="inlineStr">
        <is>
          <t>A11940088</t>
        </is>
      </c>
      <c r="R377" s="16" t="inlineStr"/>
      <c r="S377" s="16" t="inlineStr"/>
    </row>
    <row r="378">
      <c r="A378" s="15">
        <f>HYPERLINK("https://www.google.com/search?q=A11823349+Miami+MLS+listing", "A11823349")</f>
        <v/>
      </c>
      <c r="B378" s="16" t="inlineStr">
        <is>
          <t>10740 Royal Palm Blvd</t>
        </is>
      </c>
      <c r="C378" s="16" t="inlineStr">
        <is>
          <t>33065</t>
        </is>
      </c>
      <c r="D378" s="16" t="inlineStr">
        <is>
          <t>Broward County</t>
        </is>
      </c>
      <c r="E378" s="16" t="inlineStr">
        <is>
          <t>Duplex</t>
        </is>
      </c>
      <c r="F378" s="17" t="n">
        <v>2</v>
      </c>
      <c r="G378" s="18" t="n">
        <v>1780000</v>
      </c>
      <c r="H378" s="18" t="n">
        <v>7050</v>
      </c>
      <c r="I378" s="19">
        <f>H378/G378</f>
        <v/>
      </c>
      <c r="J378" s="18">
        <f>H378*(1-Assumptions!$B$4)</f>
        <v/>
      </c>
      <c r="K378" s="20">
        <f>PMT(Assumptions!$B$2/12, 360, -G378*(1-Assumptions!$B$3))</f>
        <v/>
      </c>
      <c r="L378" s="20">
        <f>J378+K378</f>
        <v/>
      </c>
      <c r="M378" s="21">
        <f>IF(I378&gt;=0.01,50,IF(I378&gt;=0.0095,37,IF(I378&gt;=0.009,25,12)))</f>
        <v/>
      </c>
      <c r="N378" s="21">
        <f>IF(L378&gt;=2000,30,IF(L378&gt;=1000,20,IF(L378&gt;=500,10,5)))</f>
        <v/>
      </c>
      <c r="O378" s="21" t="n">
        <v>13</v>
      </c>
      <c r="P378" s="22">
        <f>M378+N378+O378</f>
        <v/>
      </c>
      <c r="Q378" s="16" t="inlineStr">
        <is>
          <t>A11823349</t>
        </is>
      </c>
      <c r="R378" s="16" t="inlineStr"/>
      <c r="S378" s="16" t="inlineStr"/>
    </row>
    <row r="379">
      <c r="A379" s="15">
        <f>HYPERLINK("https://www.google.com/search?q=A11797750+Miami+MLS+listing", "A11797750")</f>
        <v/>
      </c>
      <c r="B379" s="16" t="inlineStr">
        <is>
          <t>5321 NW 22nd St</t>
        </is>
      </c>
      <c r="C379" s="16" t="inlineStr">
        <is>
          <t>33313</t>
        </is>
      </c>
      <c r="D379" s="16" t="inlineStr">
        <is>
          <t>Broward County</t>
        </is>
      </c>
      <c r="E379" s="16" t="inlineStr">
        <is>
          <t>Fourplex</t>
        </is>
      </c>
      <c r="F379" s="17" t="n">
        <v>4</v>
      </c>
      <c r="G379" s="18" t="n">
        <v>940000</v>
      </c>
      <c r="H379" s="18" t="n">
        <v>7700</v>
      </c>
      <c r="I379" s="19">
        <f>H379/G379</f>
        <v/>
      </c>
      <c r="J379" s="18">
        <f>H379*(1-Assumptions!$B$4)</f>
        <v/>
      </c>
      <c r="K379" s="20">
        <f>PMT(Assumptions!$B$2/12, 360, -G379*(1-Assumptions!$B$3))</f>
        <v/>
      </c>
      <c r="L379" s="20">
        <f>J379+K379</f>
        <v/>
      </c>
      <c r="M379" s="21">
        <f>IF(I379&gt;=0.01,50,IF(I379&gt;=0.0095,37,IF(I379&gt;=0.009,25,12)))</f>
        <v/>
      </c>
      <c r="N379" s="21">
        <f>IF(L379&gt;=2000,30,IF(L379&gt;=1000,20,IF(L379&gt;=500,10,5)))</f>
        <v/>
      </c>
      <c r="O379" s="21" t="n">
        <v>13</v>
      </c>
      <c r="P379" s="22">
        <f>M379+N379+O379</f>
        <v/>
      </c>
      <c r="Q379" s="16" t="inlineStr">
        <is>
          <t>A11797750</t>
        </is>
      </c>
      <c r="R379" s="16" t="inlineStr"/>
      <c r="S379" s="16" t="inlineStr"/>
    </row>
    <row r="380">
      <c r="A380" s="15">
        <f>HYPERLINK("https://www.google.com/search?q=A11924737+Miami+MLS+listing", "A11924737")</f>
        <v/>
      </c>
      <c r="B380" s="16" t="inlineStr">
        <is>
          <t>2030 Taylor St</t>
        </is>
      </c>
      <c r="C380" s="16" t="inlineStr">
        <is>
          <t>33020</t>
        </is>
      </c>
      <c r="D380" s="16" t="inlineStr">
        <is>
          <t>Broward County</t>
        </is>
      </c>
      <c r="E380" s="16" t="inlineStr">
        <is>
          <t>Duplex</t>
        </is>
      </c>
      <c r="F380" s="17" t="n">
        <v>2</v>
      </c>
      <c r="G380" s="18" t="n">
        <v>675000</v>
      </c>
      <c r="H380" s="18" t="n">
        <v>5000</v>
      </c>
      <c r="I380" s="19">
        <f>H380/G380</f>
        <v/>
      </c>
      <c r="J380" s="18">
        <f>H380*(1-Assumptions!$B$4)</f>
        <v/>
      </c>
      <c r="K380" s="20">
        <f>PMT(Assumptions!$B$2/12, 360, -G380*(1-Assumptions!$B$3))</f>
        <v/>
      </c>
      <c r="L380" s="20">
        <f>J380+K380</f>
        <v/>
      </c>
      <c r="M380" s="21">
        <f>IF(I380&gt;=0.01,50,IF(I380&gt;=0.0095,37,IF(I380&gt;=0.009,25,12)))</f>
        <v/>
      </c>
      <c r="N380" s="21">
        <f>IF(L380&gt;=2000,30,IF(L380&gt;=1000,20,IF(L380&gt;=500,10,5)))</f>
        <v/>
      </c>
      <c r="O380" s="21" t="n">
        <v>13</v>
      </c>
      <c r="P380" s="22">
        <f>M380+N380+O380</f>
        <v/>
      </c>
      <c r="Q380" s="16" t="inlineStr">
        <is>
          <t>A11924737</t>
        </is>
      </c>
      <c r="R380" s="16" t="inlineStr"/>
      <c r="S380" s="16" t="inlineStr"/>
    </row>
    <row r="381">
      <c r="A381" s="15">
        <f>HYPERLINK("https://www.google.com/search?q=A11921236+Miami+MLS+listing", "A11921236")</f>
        <v/>
      </c>
      <c r="B381" s="16" t="inlineStr">
        <is>
          <t>2034 Taylor St</t>
        </is>
      </c>
      <c r="C381" s="16" t="inlineStr">
        <is>
          <t>33020</t>
        </is>
      </c>
      <c r="D381" s="16" t="inlineStr">
        <is>
          <t>Broward County</t>
        </is>
      </c>
      <c r="E381" s="16" t="inlineStr">
        <is>
          <t>Duplex</t>
        </is>
      </c>
      <c r="F381" s="17" t="n">
        <v>2</v>
      </c>
      <c r="G381" s="18" t="n">
        <v>675000</v>
      </c>
      <c r="H381" s="18" t="n">
        <v>5000</v>
      </c>
      <c r="I381" s="19">
        <f>H381/G381</f>
        <v/>
      </c>
      <c r="J381" s="18">
        <f>H381*(1-Assumptions!$B$4)</f>
        <v/>
      </c>
      <c r="K381" s="20">
        <f>PMT(Assumptions!$B$2/12, 360, -G381*(1-Assumptions!$B$3))</f>
        <v/>
      </c>
      <c r="L381" s="20">
        <f>J381+K381</f>
        <v/>
      </c>
      <c r="M381" s="21">
        <f>IF(I381&gt;=0.01,50,IF(I381&gt;=0.0095,37,IF(I381&gt;=0.009,25,12)))</f>
        <v/>
      </c>
      <c r="N381" s="21">
        <f>IF(L381&gt;=2000,30,IF(L381&gt;=1000,20,IF(L381&gt;=500,10,5)))</f>
        <v/>
      </c>
      <c r="O381" s="21" t="n">
        <v>13</v>
      </c>
      <c r="P381" s="22">
        <f>M381+N381+O381</f>
        <v/>
      </c>
      <c r="Q381" s="16" t="inlineStr">
        <is>
          <t>A11921236</t>
        </is>
      </c>
      <c r="R381" s="16" t="inlineStr"/>
      <c r="S381" s="16" t="inlineStr"/>
    </row>
    <row r="382">
      <c r="A382" s="15">
        <f>HYPERLINK("https://www.google.com/search?q=A11905179+Miami+MLS+listing", "A11905179")</f>
        <v/>
      </c>
      <c r="B382" s="16" t="inlineStr">
        <is>
          <t>1105 NE 10th St</t>
        </is>
      </c>
      <c r="C382" s="16" t="inlineStr">
        <is>
          <t>33009</t>
        </is>
      </c>
      <c r="D382" s="16" t="inlineStr">
        <is>
          <t>Broward County</t>
        </is>
      </c>
      <c r="E382" s="16" t="inlineStr">
        <is>
          <t>Triplex</t>
        </is>
      </c>
      <c r="F382" s="17" t="n">
        <v>3</v>
      </c>
      <c r="G382" s="18" t="n">
        <v>649000</v>
      </c>
      <c r="H382" s="18" t="n">
        <v>5800</v>
      </c>
      <c r="I382" s="19">
        <f>H382/G382</f>
        <v/>
      </c>
      <c r="J382" s="18">
        <f>H382*(1-Assumptions!$B$4)</f>
        <v/>
      </c>
      <c r="K382" s="20">
        <f>PMT(Assumptions!$B$2/12, 360, -G382*(1-Assumptions!$B$3))</f>
        <v/>
      </c>
      <c r="L382" s="20">
        <f>J382+K382</f>
        <v/>
      </c>
      <c r="M382" s="21">
        <f>IF(I382&gt;=0.01,50,IF(I382&gt;=0.0095,37,IF(I382&gt;=0.009,25,12)))</f>
        <v/>
      </c>
      <c r="N382" s="21">
        <f>IF(L382&gt;=2000,30,IF(L382&gt;=1000,20,IF(L382&gt;=500,10,5)))</f>
        <v/>
      </c>
      <c r="O382" s="21" t="n">
        <v>13</v>
      </c>
      <c r="P382" s="22">
        <f>M382+N382+O382</f>
        <v/>
      </c>
      <c r="Q382" s="16" t="inlineStr">
        <is>
          <t>A11905179</t>
        </is>
      </c>
      <c r="R382" s="16" t="inlineStr"/>
      <c r="S382" s="16" t="inlineStr"/>
    </row>
    <row r="383">
      <c r="A383" s="15">
        <f>HYPERLINK("https://www.google.com/search?q=A11779296+Miami+MLS+listing", "A11779296")</f>
        <v/>
      </c>
      <c r="B383" s="16" t="inlineStr">
        <is>
          <t>220 NW 12th St</t>
        </is>
      </c>
      <c r="C383" s="16" t="inlineStr">
        <is>
          <t>33060</t>
        </is>
      </c>
      <c r="D383" s="16" t="inlineStr">
        <is>
          <t>Broward County</t>
        </is>
      </c>
      <c r="E383" s="16" t="inlineStr">
        <is>
          <t>Fourplex</t>
        </is>
      </c>
      <c r="F383" s="17" t="n">
        <v>4</v>
      </c>
      <c r="G383" s="18" t="n">
        <v>1200000</v>
      </c>
      <c r="H383" s="18" t="n">
        <v>7800</v>
      </c>
      <c r="I383" s="19">
        <f>H383/G383</f>
        <v/>
      </c>
      <c r="J383" s="18">
        <f>H383*(1-Assumptions!$B$4)</f>
        <v/>
      </c>
      <c r="K383" s="20">
        <f>PMT(Assumptions!$B$2/12, 360, -G383*(1-Assumptions!$B$3))</f>
        <v/>
      </c>
      <c r="L383" s="20">
        <f>J383+K383</f>
        <v/>
      </c>
      <c r="M383" s="21">
        <f>IF(I383&gt;=0.01,50,IF(I383&gt;=0.0095,37,IF(I383&gt;=0.009,25,12)))</f>
        <v/>
      </c>
      <c r="N383" s="21">
        <f>IF(L383&gt;=2000,30,IF(L383&gt;=1000,20,IF(L383&gt;=500,10,5)))</f>
        <v/>
      </c>
      <c r="O383" s="21" t="n">
        <v>13</v>
      </c>
      <c r="P383" s="22">
        <f>M383+N383+O383</f>
        <v/>
      </c>
      <c r="Q383" s="16" t="inlineStr">
        <is>
          <t>A11779296</t>
        </is>
      </c>
      <c r="R383" s="16" t="inlineStr"/>
      <c r="S383" s="16" t="inlineStr"/>
    </row>
    <row r="384">
      <c r="A384" s="15">
        <f>HYPERLINK("https://www.google.com/search?q=A11954456+Miami+MLS+listing", "A11954456")</f>
        <v/>
      </c>
      <c r="B384" s="16" t="inlineStr">
        <is>
          <t>1118-1120 NW 2nd Ave</t>
        </is>
      </c>
      <c r="C384" s="16" t="inlineStr">
        <is>
          <t>33311</t>
        </is>
      </c>
      <c r="D384" s="16" t="inlineStr">
        <is>
          <t>Broward County</t>
        </is>
      </c>
      <c r="E384" s="16" t="inlineStr">
        <is>
          <t>Duplex</t>
        </is>
      </c>
      <c r="F384" s="17" t="n">
        <v>2</v>
      </c>
      <c r="G384" s="18" t="n">
        <v>640000</v>
      </c>
      <c r="H384" s="18" t="n">
        <v>3600</v>
      </c>
      <c r="I384" s="19">
        <f>H384/G384</f>
        <v/>
      </c>
      <c r="J384" s="18">
        <f>H384*(1-Assumptions!$B$4)</f>
        <v/>
      </c>
      <c r="K384" s="20">
        <f>PMT(Assumptions!$B$2/12, 360, -G384*(1-Assumptions!$B$3))</f>
        <v/>
      </c>
      <c r="L384" s="20">
        <f>J384+K384</f>
        <v/>
      </c>
      <c r="M384" s="21">
        <f>IF(I384&gt;=0.01,50,IF(I384&gt;=0.0095,37,IF(I384&gt;=0.009,25,12)))</f>
        <v/>
      </c>
      <c r="N384" s="21">
        <f>IF(L384&gt;=2000,30,IF(L384&gt;=1000,20,IF(L384&gt;=500,10,5)))</f>
        <v/>
      </c>
      <c r="O384" s="21" t="n">
        <v>13</v>
      </c>
      <c r="P384" s="22">
        <f>M384+N384+O384</f>
        <v/>
      </c>
      <c r="Q384" s="16" t="inlineStr">
        <is>
          <t>A11954456</t>
        </is>
      </c>
      <c r="R384" s="16" t="inlineStr"/>
      <c r="S384" s="16" t="inlineStr"/>
    </row>
    <row r="385">
      <c r="A385" s="15">
        <f>HYPERLINK("https://www.google.com/search?q=A11972000+Miami+MLS+listing", "A11972000")</f>
        <v/>
      </c>
      <c r="B385" s="16" t="inlineStr">
        <is>
          <t>118 Phippen Waiters Rd</t>
        </is>
      </c>
      <c r="C385" s="16" t="inlineStr">
        <is>
          <t>33004</t>
        </is>
      </c>
      <c r="D385" s="16" t="inlineStr">
        <is>
          <t>Broward County</t>
        </is>
      </c>
      <c r="E385" s="16" t="inlineStr">
        <is>
          <t>Fourplex</t>
        </is>
      </c>
      <c r="F385" s="17" t="n">
        <v>4</v>
      </c>
      <c r="G385" s="18" t="n">
        <v>849000</v>
      </c>
      <c r="H385" s="18" t="n">
        <v>4900</v>
      </c>
      <c r="I385" s="19">
        <f>H385/G385</f>
        <v/>
      </c>
      <c r="J385" s="18">
        <f>H385*(1-Assumptions!$B$4)</f>
        <v/>
      </c>
      <c r="K385" s="20">
        <f>PMT(Assumptions!$B$2/12, 360, -G385*(1-Assumptions!$B$3))</f>
        <v/>
      </c>
      <c r="L385" s="20">
        <f>J385+K385</f>
        <v/>
      </c>
      <c r="M385" s="21">
        <f>IF(I385&gt;=0.01,50,IF(I385&gt;=0.0095,37,IF(I385&gt;=0.009,25,12)))</f>
        <v/>
      </c>
      <c r="N385" s="21">
        <f>IF(L385&gt;=2000,30,IF(L385&gt;=1000,20,IF(L385&gt;=500,10,5)))</f>
        <v/>
      </c>
      <c r="O385" s="21" t="n">
        <v>13</v>
      </c>
      <c r="P385" s="22">
        <f>M385+N385+O385</f>
        <v/>
      </c>
      <c r="Q385" s="16" t="inlineStr">
        <is>
          <t>A11972000</t>
        </is>
      </c>
      <c r="R385" s="16" t="inlineStr"/>
      <c r="S385" s="16" t="inlineStr"/>
    </row>
    <row r="386">
      <c r="A386" s="15">
        <f>HYPERLINK("https://www.google.com/search?q=A11906055+Miami+MLS+listing", "A11906055")</f>
        <v/>
      </c>
      <c r="B386" s="16" t="inlineStr">
        <is>
          <t>1219-1221 NE 18th Ave</t>
        </is>
      </c>
      <c r="C386" s="16" t="inlineStr">
        <is>
          <t>33304</t>
        </is>
      </c>
      <c r="D386" s="16" t="inlineStr">
        <is>
          <t>Broward County</t>
        </is>
      </c>
      <c r="E386" s="16" t="inlineStr">
        <is>
          <t>Triplex</t>
        </is>
      </c>
      <c r="F386" s="17" t="n">
        <v>3</v>
      </c>
      <c r="G386" s="18" t="n">
        <v>735000</v>
      </c>
      <c r="H386" s="18" t="n">
        <v>4896</v>
      </c>
      <c r="I386" s="19">
        <f>H386/G386</f>
        <v/>
      </c>
      <c r="J386" s="18">
        <f>H386*(1-Assumptions!$B$4)</f>
        <v/>
      </c>
      <c r="K386" s="20">
        <f>PMT(Assumptions!$B$2/12, 360, -G386*(1-Assumptions!$B$3))</f>
        <v/>
      </c>
      <c r="L386" s="20">
        <f>J386+K386</f>
        <v/>
      </c>
      <c r="M386" s="21">
        <f>IF(I386&gt;=0.01,50,IF(I386&gt;=0.0095,37,IF(I386&gt;=0.009,25,12)))</f>
        <v/>
      </c>
      <c r="N386" s="21">
        <f>IF(L386&gt;=2000,30,IF(L386&gt;=1000,20,IF(L386&gt;=500,10,5)))</f>
        <v/>
      </c>
      <c r="O386" s="21" t="n">
        <v>13</v>
      </c>
      <c r="P386" s="22">
        <f>M386+N386+O386</f>
        <v/>
      </c>
      <c r="Q386" s="16" t="inlineStr">
        <is>
          <t>A11906055</t>
        </is>
      </c>
      <c r="R386" s="16" t="inlineStr"/>
      <c r="S386" s="16" t="inlineStr"/>
    </row>
    <row r="387">
      <c r="A387" s="15">
        <f>HYPERLINK("https://www.google.com/search?q=A11797832+Miami+MLS+listing", "A11797832")</f>
        <v/>
      </c>
      <c r="B387" s="16" t="inlineStr">
        <is>
          <t>1848 NW 52nd Ave</t>
        </is>
      </c>
      <c r="C387" s="16" t="inlineStr">
        <is>
          <t>33313</t>
        </is>
      </c>
      <c r="D387" s="16" t="inlineStr">
        <is>
          <t>Broward County</t>
        </is>
      </c>
      <c r="E387" s="16" t="inlineStr">
        <is>
          <t>Fourplex</t>
        </is>
      </c>
      <c r="F387" s="17" t="n">
        <v>4</v>
      </c>
      <c r="G387" s="18" t="n">
        <v>940000</v>
      </c>
      <c r="H387" s="18" t="n">
        <v>7900</v>
      </c>
      <c r="I387" s="19">
        <f>H387/G387</f>
        <v/>
      </c>
      <c r="J387" s="18">
        <f>H387*(1-Assumptions!$B$4)</f>
        <v/>
      </c>
      <c r="K387" s="20">
        <f>PMT(Assumptions!$B$2/12, 360, -G387*(1-Assumptions!$B$3))</f>
        <v/>
      </c>
      <c r="L387" s="20">
        <f>J387+K387</f>
        <v/>
      </c>
      <c r="M387" s="21">
        <f>IF(I387&gt;=0.01,50,IF(I387&gt;=0.0095,37,IF(I387&gt;=0.009,25,12)))</f>
        <v/>
      </c>
      <c r="N387" s="21">
        <f>IF(L387&gt;=2000,30,IF(L387&gt;=1000,20,IF(L387&gt;=500,10,5)))</f>
        <v/>
      </c>
      <c r="O387" s="21" t="n">
        <v>13</v>
      </c>
      <c r="P387" s="22">
        <f>M387+N387+O387</f>
        <v/>
      </c>
      <c r="Q387" s="16" t="inlineStr">
        <is>
          <t>A11797832</t>
        </is>
      </c>
      <c r="R387" s="16" t="inlineStr"/>
      <c r="S387" s="16" t="inlineStr"/>
    </row>
    <row r="388">
      <c r="A388" s="15">
        <f>HYPERLINK("https://www.google.com/search?q=A11916935+Miami+MLS+listing", "A11916935")</f>
        <v/>
      </c>
      <c r="B388" s="16" t="inlineStr">
        <is>
          <t>1741 SW 40th Ter</t>
        </is>
      </c>
      <c r="C388" s="16" t="inlineStr">
        <is>
          <t>33317</t>
        </is>
      </c>
      <c r="D388" s="16" t="inlineStr">
        <is>
          <t>Broward County</t>
        </is>
      </c>
      <c r="E388" s="16" t="inlineStr">
        <is>
          <t>Duplex</t>
        </is>
      </c>
      <c r="F388" s="17" t="n">
        <v>2</v>
      </c>
      <c r="G388" s="18" t="n">
        <v>670000</v>
      </c>
      <c r="H388" s="18" t="n">
        <v>4800</v>
      </c>
      <c r="I388" s="19">
        <f>H388/G388</f>
        <v/>
      </c>
      <c r="J388" s="18">
        <f>H388*(1-Assumptions!$B$4)</f>
        <v/>
      </c>
      <c r="K388" s="20">
        <f>PMT(Assumptions!$B$2/12, 360, -G388*(1-Assumptions!$B$3))</f>
        <v/>
      </c>
      <c r="L388" s="20">
        <f>J388+K388</f>
        <v/>
      </c>
      <c r="M388" s="21">
        <f>IF(I388&gt;=0.01,50,IF(I388&gt;=0.0095,37,IF(I388&gt;=0.009,25,12)))</f>
        <v/>
      </c>
      <c r="N388" s="21">
        <f>IF(L388&gt;=2000,30,IF(L388&gt;=1000,20,IF(L388&gt;=500,10,5)))</f>
        <v/>
      </c>
      <c r="O388" s="21" t="n">
        <v>13</v>
      </c>
      <c r="P388" s="22">
        <f>M388+N388+O388</f>
        <v/>
      </c>
      <c r="Q388" s="16" t="inlineStr">
        <is>
          <t>A11916935</t>
        </is>
      </c>
      <c r="R388" s="16" t="inlineStr"/>
      <c r="S388" s="16" t="inlineStr"/>
    </row>
    <row r="389">
      <c r="A389" s="15">
        <f>HYPERLINK("https://www.google.com/search?q=A11967922+Miami+MLS+listing", "A11967922")</f>
        <v/>
      </c>
      <c r="B389" s="16" t="inlineStr">
        <is>
          <t>1600 SW 44th Ave</t>
        </is>
      </c>
      <c r="C389" s="16" t="inlineStr">
        <is>
          <t>33317</t>
        </is>
      </c>
      <c r="D389" s="16" t="inlineStr">
        <is>
          <t>Broward County</t>
        </is>
      </c>
      <c r="E389" s="16" t="inlineStr">
        <is>
          <t>Duplex</t>
        </is>
      </c>
      <c r="F389" s="17" t="n">
        <v>2</v>
      </c>
      <c r="G389" s="18" t="n">
        <v>725000</v>
      </c>
      <c r="H389" s="18" t="n">
        <v>4800</v>
      </c>
      <c r="I389" s="19">
        <f>H389/G389</f>
        <v/>
      </c>
      <c r="J389" s="18">
        <f>H389*(1-Assumptions!$B$4)</f>
        <v/>
      </c>
      <c r="K389" s="20">
        <f>PMT(Assumptions!$B$2/12, 360, -G389*(1-Assumptions!$B$3))</f>
        <v/>
      </c>
      <c r="L389" s="20">
        <f>J389+K389</f>
        <v/>
      </c>
      <c r="M389" s="21">
        <f>IF(I389&gt;=0.01,50,IF(I389&gt;=0.0095,37,IF(I389&gt;=0.009,25,12)))</f>
        <v/>
      </c>
      <c r="N389" s="21">
        <f>IF(L389&gt;=2000,30,IF(L389&gt;=1000,20,IF(L389&gt;=500,10,5)))</f>
        <v/>
      </c>
      <c r="O389" s="21" t="n">
        <v>13</v>
      </c>
      <c r="P389" s="22">
        <f>M389+N389+O389</f>
        <v/>
      </c>
      <c r="Q389" s="16" t="inlineStr">
        <is>
          <t>A11967922</t>
        </is>
      </c>
      <c r="R389" s="16" t="inlineStr"/>
      <c r="S389" s="16" t="inlineStr"/>
    </row>
    <row r="390">
      <c r="A390" s="15">
        <f>HYPERLINK("https://www.google.com/search?q=A11946997+Miami+MLS+listing", "A11946997")</f>
        <v/>
      </c>
      <c r="B390" s="16" t="inlineStr">
        <is>
          <t>3970 NW 31st Ter</t>
        </is>
      </c>
      <c r="C390" s="16" t="inlineStr">
        <is>
          <t>33309</t>
        </is>
      </c>
      <c r="D390" s="16" t="inlineStr">
        <is>
          <t>Broward County</t>
        </is>
      </c>
      <c r="E390" s="16" t="inlineStr">
        <is>
          <t>Fourplex</t>
        </is>
      </c>
      <c r="F390" s="17" t="n">
        <v>4</v>
      </c>
      <c r="G390" s="18" t="n">
        <v>1250000</v>
      </c>
      <c r="H390" s="18" t="n">
        <v>7900</v>
      </c>
      <c r="I390" s="19">
        <f>H390/G390</f>
        <v/>
      </c>
      <c r="J390" s="18">
        <f>H390*(1-Assumptions!$B$4)</f>
        <v/>
      </c>
      <c r="K390" s="20">
        <f>PMT(Assumptions!$B$2/12, 360, -G390*(1-Assumptions!$B$3))</f>
        <v/>
      </c>
      <c r="L390" s="20">
        <f>J390+K390</f>
        <v/>
      </c>
      <c r="M390" s="21">
        <f>IF(I390&gt;=0.01,50,IF(I390&gt;=0.0095,37,IF(I390&gt;=0.009,25,12)))</f>
        <v/>
      </c>
      <c r="N390" s="21">
        <f>IF(L390&gt;=2000,30,IF(L390&gt;=1000,20,IF(L390&gt;=500,10,5)))</f>
        <v/>
      </c>
      <c r="O390" s="21" t="n">
        <v>13</v>
      </c>
      <c r="P390" s="22">
        <f>M390+N390+O390</f>
        <v/>
      </c>
      <c r="Q390" s="16" t="inlineStr">
        <is>
          <t>A11946997</t>
        </is>
      </c>
      <c r="R390" s="16" t="inlineStr"/>
      <c r="S390" s="16" t="inlineStr"/>
    </row>
    <row r="391">
      <c r="A391" s="15">
        <f>HYPERLINK("https://www.google.com/search?q=A11875828+Miami+MLS+listing", "A11875828")</f>
        <v/>
      </c>
      <c r="B391" s="16" t="inlineStr">
        <is>
          <t>1670 Harding St</t>
        </is>
      </c>
      <c r="C391" s="16" t="inlineStr">
        <is>
          <t>33020</t>
        </is>
      </c>
      <c r="D391" s="16" t="inlineStr">
        <is>
          <t>Broward County</t>
        </is>
      </c>
      <c r="E391" s="16" t="inlineStr">
        <is>
          <t>Duplex</t>
        </is>
      </c>
      <c r="F391" s="17" t="n">
        <v>2</v>
      </c>
      <c r="G391" s="18" t="n">
        <v>580000</v>
      </c>
      <c r="H391" s="18" t="n">
        <v>4700</v>
      </c>
      <c r="I391" s="19">
        <f>H391/G391</f>
        <v/>
      </c>
      <c r="J391" s="18">
        <f>H391*(1-Assumptions!$B$4)</f>
        <v/>
      </c>
      <c r="K391" s="20">
        <f>PMT(Assumptions!$B$2/12, 360, -G391*(1-Assumptions!$B$3))</f>
        <v/>
      </c>
      <c r="L391" s="20">
        <f>J391+K391</f>
        <v/>
      </c>
      <c r="M391" s="21">
        <f>IF(I391&gt;=0.01,50,IF(I391&gt;=0.0095,37,IF(I391&gt;=0.009,25,12)))</f>
        <v/>
      </c>
      <c r="N391" s="21">
        <f>IF(L391&gt;=2000,30,IF(L391&gt;=1000,20,IF(L391&gt;=500,10,5)))</f>
        <v/>
      </c>
      <c r="O391" s="21" t="n">
        <v>13</v>
      </c>
      <c r="P391" s="22">
        <f>M391+N391+O391</f>
        <v/>
      </c>
      <c r="Q391" s="16" t="inlineStr">
        <is>
          <t>A11875828</t>
        </is>
      </c>
      <c r="R391" s="16" t="inlineStr"/>
      <c r="S391" s="16" t="inlineStr"/>
    </row>
    <row r="392">
      <c r="A392" s="15">
        <f>HYPERLINK("https://www.google.com/search?q=A11941736+Miami+MLS+listing", "A11941736")</f>
        <v/>
      </c>
      <c r="B392" s="16" t="inlineStr">
        <is>
          <t>8690 Sunset Dr A</t>
        </is>
      </c>
      <c r="C392" s="16" t="inlineStr">
        <is>
          <t>33410</t>
        </is>
      </c>
      <c r="D392" s="16" t="inlineStr">
        <is>
          <t>Palm Beach County</t>
        </is>
      </c>
      <c r="E392" s="16" t="inlineStr">
        <is>
          <t>Triplex</t>
        </is>
      </c>
      <c r="F392" s="17" t="n">
        <v>3</v>
      </c>
      <c r="G392" s="18" t="n">
        <v>900000</v>
      </c>
      <c r="H392" s="18" t="n">
        <v>5850</v>
      </c>
      <c r="I392" s="19">
        <f>H392/G392</f>
        <v/>
      </c>
      <c r="J392" s="18">
        <f>H392*(1-Assumptions!$B$4)</f>
        <v/>
      </c>
      <c r="K392" s="20">
        <f>PMT(Assumptions!$B$2/12, 360, -G392*(1-Assumptions!$B$3))</f>
        <v/>
      </c>
      <c r="L392" s="20">
        <f>J392+K392</f>
        <v/>
      </c>
      <c r="M392" s="21">
        <f>IF(I392&gt;=0.01,50,IF(I392&gt;=0.0095,37,IF(I392&gt;=0.009,25,12)))</f>
        <v/>
      </c>
      <c r="N392" s="21">
        <f>IF(L392&gt;=2000,30,IF(L392&gt;=1000,20,IF(L392&gt;=500,10,5)))</f>
        <v/>
      </c>
      <c r="O392" s="21" t="n">
        <v>13</v>
      </c>
      <c r="P392" s="22">
        <f>M392+N392+O392</f>
        <v/>
      </c>
      <c r="Q392" s="16" t="inlineStr">
        <is>
          <t>A11941736</t>
        </is>
      </c>
      <c r="R392" s="16" t="inlineStr"/>
      <c r="S392" s="16" t="inlineStr"/>
    </row>
    <row r="393">
      <c r="A393" s="15">
        <f>HYPERLINK("https://www.google.com/search?q=A11962597+Miami+MLS+listing", "A11962597")</f>
        <v/>
      </c>
      <c r="B393" s="16" t="inlineStr">
        <is>
          <t>920 SW 28th St 1-2</t>
        </is>
      </c>
      <c r="C393" s="16" t="inlineStr">
        <is>
          <t>33315</t>
        </is>
      </c>
      <c r="D393" s="16" t="inlineStr">
        <is>
          <t>Broward County</t>
        </is>
      </c>
      <c r="E393" s="16" t="inlineStr">
        <is>
          <t>Duplex</t>
        </is>
      </c>
      <c r="F393" s="17" t="n">
        <v>2</v>
      </c>
      <c r="G393" s="18" t="n">
        <v>799000</v>
      </c>
      <c r="H393" s="18" t="n">
        <v>4600</v>
      </c>
      <c r="I393" s="19">
        <f>H393/G393</f>
        <v/>
      </c>
      <c r="J393" s="18">
        <f>H393*(1-Assumptions!$B$4)</f>
        <v/>
      </c>
      <c r="K393" s="20">
        <f>PMT(Assumptions!$B$2/12, 360, -G393*(1-Assumptions!$B$3))</f>
        <v/>
      </c>
      <c r="L393" s="20">
        <f>J393+K393</f>
        <v/>
      </c>
      <c r="M393" s="21">
        <f>IF(I393&gt;=0.01,50,IF(I393&gt;=0.0095,37,IF(I393&gt;=0.009,25,12)))</f>
        <v/>
      </c>
      <c r="N393" s="21">
        <f>IF(L393&gt;=2000,30,IF(L393&gt;=1000,20,IF(L393&gt;=500,10,5)))</f>
        <v/>
      </c>
      <c r="O393" s="21" t="n">
        <v>13</v>
      </c>
      <c r="P393" s="22">
        <f>M393+N393+O393</f>
        <v/>
      </c>
      <c r="Q393" s="16" t="inlineStr">
        <is>
          <t>A11962597</t>
        </is>
      </c>
      <c r="R393" s="16" t="inlineStr"/>
      <c r="S393" s="16" t="inlineStr"/>
    </row>
    <row r="394">
      <c r="A394" s="15">
        <f>HYPERLINK("https://www.google.com/search?q=A11731026+Miami+MLS+listing", "A11731026")</f>
        <v/>
      </c>
      <c r="B394" s="16" t="inlineStr">
        <is>
          <t>409 SW 4th Ter</t>
        </is>
      </c>
      <c r="C394" s="16" t="inlineStr">
        <is>
          <t>33009</t>
        </is>
      </c>
      <c r="D394" s="16" t="inlineStr">
        <is>
          <t>Broward County</t>
        </is>
      </c>
      <c r="E394" s="16" t="inlineStr">
        <is>
          <t>Duplex</t>
        </is>
      </c>
      <c r="F394" s="17" t="n">
        <v>2</v>
      </c>
      <c r="G394" s="18" t="n">
        <v>590000</v>
      </c>
      <c r="H394" s="18" t="n">
        <v>4600</v>
      </c>
      <c r="I394" s="19">
        <f>H394/G394</f>
        <v/>
      </c>
      <c r="J394" s="18">
        <f>H394*(1-Assumptions!$B$4)</f>
        <v/>
      </c>
      <c r="K394" s="20">
        <f>PMT(Assumptions!$B$2/12, 360, -G394*(1-Assumptions!$B$3))</f>
        <v/>
      </c>
      <c r="L394" s="20">
        <f>J394+K394</f>
        <v/>
      </c>
      <c r="M394" s="21">
        <f>IF(I394&gt;=0.01,50,IF(I394&gt;=0.0095,37,IF(I394&gt;=0.009,25,12)))</f>
        <v/>
      </c>
      <c r="N394" s="21">
        <f>IF(L394&gt;=2000,30,IF(L394&gt;=1000,20,IF(L394&gt;=500,10,5)))</f>
        <v/>
      </c>
      <c r="O394" s="21" t="n">
        <v>13</v>
      </c>
      <c r="P394" s="22">
        <f>M394+N394+O394</f>
        <v/>
      </c>
      <c r="Q394" s="16" t="inlineStr">
        <is>
          <t>A11731026</t>
        </is>
      </c>
      <c r="R394" s="16" t="inlineStr"/>
      <c r="S394" s="16" t="inlineStr"/>
    </row>
    <row r="395">
      <c r="A395" s="15">
        <f>HYPERLINK("https://www.google.com/search?q=A11916814+Miami+MLS+listing", "A11916814")</f>
        <v/>
      </c>
      <c r="B395" s="16" t="inlineStr">
        <is>
          <t>353 SW 19th Ave</t>
        </is>
      </c>
      <c r="C395" s="16" t="inlineStr">
        <is>
          <t>33312</t>
        </is>
      </c>
      <c r="D395" s="16" t="inlineStr">
        <is>
          <t>Broward County</t>
        </is>
      </c>
      <c r="E395" s="16" t="inlineStr">
        <is>
          <t>Triplex</t>
        </is>
      </c>
      <c r="F395" s="17" t="n">
        <v>3</v>
      </c>
      <c r="G395" s="18" t="n">
        <v>849000</v>
      </c>
      <c r="H395" s="18" t="n">
        <v>5750</v>
      </c>
      <c r="I395" s="19">
        <f>H395/G395</f>
        <v/>
      </c>
      <c r="J395" s="18">
        <f>H395*(1-Assumptions!$B$4)</f>
        <v/>
      </c>
      <c r="K395" s="20">
        <f>PMT(Assumptions!$B$2/12, 360, -G395*(1-Assumptions!$B$3))</f>
        <v/>
      </c>
      <c r="L395" s="20">
        <f>J395+K395</f>
        <v/>
      </c>
      <c r="M395" s="21">
        <f>IF(I395&gt;=0.01,50,IF(I395&gt;=0.0095,37,IF(I395&gt;=0.009,25,12)))</f>
        <v/>
      </c>
      <c r="N395" s="21">
        <f>IF(L395&gt;=2000,30,IF(L395&gt;=1000,20,IF(L395&gt;=500,10,5)))</f>
        <v/>
      </c>
      <c r="O395" s="21" t="n">
        <v>13</v>
      </c>
      <c r="P395" s="22">
        <f>M395+N395+O395</f>
        <v/>
      </c>
      <c r="Q395" s="16" t="inlineStr">
        <is>
          <t>A11916814</t>
        </is>
      </c>
      <c r="R395" s="16" t="inlineStr"/>
      <c r="S395" s="16" t="inlineStr"/>
    </row>
    <row r="396">
      <c r="A396" s="15">
        <f>HYPERLINK("https://www.google.com/search?q=A11779261+Miami+MLS+listing", "A11779261")</f>
        <v/>
      </c>
      <c r="B396" s="16" t="inlineStr">
        <is>
          <t>216 NW 12th St</t>
        </is>
      </c>
      <c r="C396" s="16" t="inlineStr">
        <is>
          <t>33060</t>
        </is>
      </c>
      <c r="D396" s="16" t="inlineStr">
        <is>
          <t>Broward County</t>
        </is>
      </c>
      <c r="E396" s="16" t="inlineStr">
        <is>
          <t>Fourplex</t>
        </is>
      </c>
      <c r="F396" s="17" t="n">
        <v>4</v>
      </c>
      <c r="G396" s="18" t="n">
        <v>1200000</v>
      </c>
      <c r="H396" s="18" t="n">
        <v>7550</v>
      </c>
      <c r="I396" s="19">
        <f>H396/G396</f>
        <v/>
      </c>
      <c r="J396" s="18">
        <f>H396*(1-Assumptions!$B$4)</f>
        <v/>
      </c>
      <c r="K396" s="20">
        <f>PMT(Assumptions!$B$2/12, 360, -G396*(1-Assumptions!$B$3))</f>
        <v/>
      </c>
      <c r="L396" s="20">
        <f>J396+K396</f>
        <v/>
      </c>
      <c r="M396" s="21">
        <f>IF(I396&gt;=0.01,50,IF(I396&gt;=0.0095,37,IF(I396&gt;=0.009,25,12)))</f>
        <v/>
      </c>
      <c r="N396" s="21">
        <f>IF(L396&gt;=2000,30,IF(L396&gt;=1000,20,IF(L396&gt;=500,10,5)))</f>
        <v/>
      </c>
      <c r="O396" s="21" t="n">
        <v>13</v>
      </c>
      <c r="P396" s="22">
        <f>M396+N396+O396</f>
        <v/>
      </c>
      <c r="Q396" s="16" t="inlineStr">
        <is>
          <t>A11779261</t>
        </is>
      </c>
      <c r="R396" s="16" t="inlineStr"/>
      <c r="S396" s="16" t="inlineStr"/>
    </row>
    <row r="397">
      <c r="A397" s="15">
        <f>HYPERLINK("https://www.google.com/search?q=A11909785+Miami+MLS+listing", "A11909785")</f>
        <v/>
      </c>
      <c r="B397" s="16" t="inlineStr">
        <is>
          <t>7870 SW 10th Ct</t>
        </is>
      </c>
      <c r="C397" s="16" t="inlineStr">
        <is>
          <t>33068</t>
        </is>
      </c>
      <c r="D397" s="16" t="inlineStr">
        <is>
          <t>Broward County</t>
        </is>
      </c>
      <c r="E397" s="16" t="inlineStr">
        <is>
          <t>Triplex</t>
        </is>
      </c>
      <c r="F397" s="17" t="n">
        <v>3</v>
      </c>
      <c r="G397" s="18" t="n">
        <v>671000</v>
      </c>
      <c r="H397" s="18" t="n">
        <v>5050</v>
      </c>
      <c r="I397" s="19">
        <f>H397/G397</f>
        <v/>
      </c>
      <c r="J397" s="18">
        <f>H397*(1-Assumptions!$B$4)</f>
        <v/>
      </c>
      <c r="K397" s="20">
        <f>PMT(Assumptions!$B$2/12, 360, -G397*(1-Assumptions!$B$3))</f>
        <v/>
      </c>
      <c r="L397" s="20">
        <f>J397+K397</f>
        <v/>
      </c>
      <c r="M397" s="21">
        <f>IF(I397&gt;=0.01,50,IF(I397&gt;=0.0095,37,IF(I397&gt;=0.009,25,12)))</f>
        <v/>
      </c>
      <c r="N397" s="21">
        <f>IF(L397&gt;=2000,30,IF(L397&gt;=1000,20,IF(L397&gt;=500,10,5)))</f>
        <v/>
      </c>
      <c r="O397" s="21" t="n">
        <v>13</v>
      </c>
      <c r="P397" s="22">
        <f>M397+N397+O397</f>
        <v/>
      </c>
      <c r="Q397" s="16" t="inlineStr">
        <is>
          <t>A11909785</t>
        </is>
      </c>
      <c r="R397" s="16" t="inlineStr"/>
      <c r="S397" s="16" t="inlineStr"/>
    </row>
    <row r="398">
      <c r="A398" s="15">
        <f>HYPERLINK("https://www.google.com/search?q=A11970170+Miami+MLS+listing", "A11970170")</f>
        <v/>
      </c>
      <c r="B398" s="16" t="inlineStr">
        <is>
          <t>4001 NW 31st Ave</t>
        </is>
      </c>
      <c r="C398" s="16" t="inlineStr">
        <is>
          <t>33309</t>
        </is>
      </c>
      <c r="D398" s="16" t="inlineStr">
        <is>
          <t>Broward County</t>
        </is>
      </c>
      <c r="E398" s="16" t="inlineStr">
        <is>
          <t>Fourplex</t>
        </is>
      </c>
      <c r="F398" s="17" t="n">
        <v>4</v>
      </c>
      <c r="G398" s="18" t="n">
        <v>825000</v>
      </c>
      <c r="H398" s="18" t="n">
        <v>5750</v>
      </c>
      <c r="I398" s="19">
        <f>H398/G398</f>
        <v/>
      </c>
      <c r="J398" s="18">
        <f>H398*(1-Assumptions!$B$4)</f>
        <v/>
      </c>
      <c r="K398" s="20">
        <f>PMT(Assumptions!$B$2/12, 360, -G398*(1-Assumptions!$B$3))</f>
        <v/>
      </c>
      <c r="L398" s="20">
        <f>J398+K398</f>
        <v/>
      </c>
      <c r="M398" s="21">
        <f>IF(I398&gt;=0.01,50,IF(I398&gt;=0.0095,37,IF(I398&gt;=0.009,25,12)))</f>
        <v/>
      </c>
      <c r="N398" s="21">
        <f>IF(L398&gt;=2000,30,IF(L398&gt;=1000,20,IF(L398&gt;=500,10,5)))</f>
        <v/>
      </c>
      <c r="O398" s="21" t="n">
        <v>13</v>
      </c>
      <c r="P398" s="22">
        <f>M398+N398+O398</f>
        <v/>
      </c>
      <c r="Q398" s="16" t="inlineStr">
        <is>
          <t>A11970170</t>
        </is>
      </c>
      <c r="R398" s="16" t="inlineStr"/>
      <c r="S398" s="16" t="inlineStr"/>
    </row>
    <row r="399">
      <c r="A399" s="15">
        <f>HYPERLINK("https://www.google.com/search?q=A11854233+Miami+MLS+listing", "A11854233")</f>
        <v/>
      </c>
      <c r="B399" s="16" t="inlineStr">
        <is>
          <t>108 SE 23rd St</t>
        </is>
      </c>
      <c r="C399" s="16" t="inlineStr">
        <is>
          <t>33316</t>
        </is>
      </c>
      <c r="D399" s="16" t="inlineStr">
        <is>
          <t>Broward County</t>
        </is>
      </c>
      <c r="E399" s="16" t="inlineStr">
        <is>
          <t>Duplex</t>
        </is>
      </c>
      <c r="F399" s="17" t="n">
        <v>2</v>
      </c>
      <c r="G399" s="18" t="n">
        <v>800000</v>
      </c>
      <c r="H399" s="18" t="n">
        <v>5500</v>
      </c>
      <c r="I399" s="19">
        <f>H399/G399</f>
        <v/>
      </c>
      <c r="J399" s="18">
        <f>H399*(1-Assumptions!$B$4)</f>
        <v/>
      </c>
      <c r="K399" s="20">
        <f>PMT(Assumptions!$B$2/12, 360, -G399*(1-Assumptions!$B$3))</f>
        <v/>
      </c>
      <c r="L399" s="20">
        <f>J399+K399</f>
        <v/>
      </c>
      <c r="M399" s="21">
        <f>IF(I399&gt;=0.01,50,IF(I399&gt;=0.0095,37,IF(I399&gt;=0.009,25,12)))</f>
        <v/>
      </c>
      <c r="N399" s="21">
        <f>IF(L399&gt;=2000,30,IF(L399&gt;=1000,20,IF(L399&gt;=500,10,5)))</f>
        <v/>
      </c>
      <c r="O399" s="21" t="n">
        <v>13</v>
      </c>
      <c r="P399" s="22">
        <f>M399+N399+O399</f>
        <v/>
      </c>
      <c r="Q399" s="16" t="inlineStr">
        <is>
          <t>A11854233</t>
        </is>
      </c>
      <c r="R399" s="16" t="inlineStr"/>
      <c r="S399" s="16" t="inlineStr"/>
    </row>
    <row r="400">
      <c r="A400" s="15">
        <f>HYPERLINK("https://www.google.com/search?q=A11797652+Miami+MLS+listing", "A11797652")</f>
        <v/>
      </c>
      <c r="B400" s="16" t="inlineStr">
        <is>
          <t>4020 NW 30th Ter</t>
        </is>
      </c>
      <c r="C400" s="16" t="inlineStr">
        <is>
          <t>33309</t>
        </is>
      </c>
      <c r="D400" s="16" t="inlineStr">
        <is>
          <t>Broward County</t>
        </is>
      </c>
      <c r="E400" s="16" t="inlineStr">
        <is>
          <t>Fourplex</t>
        </is>
      </c>
      <c r="F400" s="17" t="n">
        <v>4</v>
      </c>
      <c r="G400" s="18" t="n">
        <v>940000</v>
      </c>
      <c r="H400" s="18" t="n">
        <v>7100</v>
      </c>
      <c r="I400" s="19">
        <f>H400/G400</f>
        <v/>
      </c>
      <c r="J400" s="18">
        <f>H400*(1-Assumptions!$B$4)</f>
        <v/>
      </c>
      <c r="K400" s="20">
        <f>PMT(Assumptions!$B$2/12, 360, -G400*(1-Assumptions!$B$3))</f>
        <v/>
      </c>
      <c r="L400" s="20">
        <f>J400+K400</f>
        <v/>
      </c>
      <c r="M400" s="21">
        <f>IF(I400&gt;=0.01,50,IF(I400&gt;=0.0095,37,IF(I400&gt;=0.009,25,12)))</f>
        <v/>
      </c>
      <c r="N400" s="21">
        <f>IF(L400&gt;=2000,30,IF(L400&gt;=1000,20,IF(L400&gt;=500,10,5)))</f>
        <v/>
      </c>
      <c r="O400" s="21" t="n">
        <v>13</v>
      </c>
      <c r="P400" s="22">
        <f>M400+N400+O400</f>
        <v/>
      </c>
      <c r="Q400" s="16" t="inlineStr">
        <is>
          <t>A11797652</t>
        </is>
      </c>
      <c r="R400" s="16" t="inlineStr"/>
      <c r="S400" s="16" t="inlineStr"/>
    </row>
    <row r="401">
      <c r="A401" s="15">
        <f>HYPERLINK("https://www.google.com/search?q=A11863916+Miami+MLS+listing", "A11863916")</f>
        <v/>
      </c>
      <c r="B401" s="16" t="inlineStr">
        <is>
          <t>3641 NE 1st Ter</t>
        </is>
      </c>
      <c r="C401" s="16" t="inlineStr">
        <is>
          <t>33334</t>
        </is>
      </c>
      <c r="D401" s="16" t="inlineStr">
        <is>
          <t>Broward County</t>
        </is>
      </c>
      <c r="E401" s="16" t="inlineStr">
        <is>
          <t>Triplex</t>
        </is>
      </c>
      <c r="F401" s="17" t="n">
        <v>3</v>
      </c>
      <c r="G401" s="18" t="n">
        <v>775000</v>
      </c>
      <c r="H401" s="18" t="n">
        <v>5450</v>
      </c>
      <c r="I401" s="19">
        <f>H401/G401</f>
        <v/>
      </c>
      <c r="J401" s="18">
        <f>H401*(1-Assumptions!$B$4)</f>
        <v/>
      </c>
      <c r="K401" s="20">
        <f>PMT(Assumptions!$B$2/12, 360, -G401*(1-Assumptions!$B$3))</f>
        <v/>
      </c>
      <c r="L401" s="20">
        <f>J401+K401</f>
        <v/>
      </c>
      <c r="M401" s="21">
        <f>IF(I401&gt;=0.01,50,IF(I401&gt;=0.0095,37,IF(I401&gt;=0.009,25,12)))</f>
        <v/>
      </c>
      <c r="N401" s="21">
        <f>IF(L401&gt;=2000,30,IF(L401&gt;=1000,20,IF(L401&gt;=500,10,5)))</f>
        <v/>
      </c>
      <c r="O401" s="21" t="n">
        <v>13</v>
      </c>
      <c r="P401" s="22">
        <f>M401+N401+O401</f>
        <v/>
      </c>
      <c r="Q401" s="16" t="inlineStr">
        <is>
          <t>A11863916</t>
        </is>
      </c>
      <c r="R401" s="16" t="inlineStr"/>
      <c r="S401" s="16" t="inlineStr"/>
    </row>
    <row r="402">
      <c r="A402" s="15">
        <f>HYPERLINK("https://www.google.com/search?q=A11942627+Miami+MLS+listing", "A11942627")</f>
        <v/>
      </c>
      <c r="B402" s="16" t="inlineStr">
        <is>
          <t>4017 SW 24th St</t>
        </is>
      </c>
      <c r="C402" s="16" t="inlineStr">
        <is>
          <t>33023</t>
        </is>
      </c>
      <c r="D402" s="16" t="inlineStr">
        <is>
          <t>Broward County</t>
        </is>
      </c>
      <c r="E402" s="16" t="inlineStr">
        <is>
          <t>Fourplex</t>
        </is>
      </c>
      <c r="F402" s="17" t="n">
        <v>4</v>
      </c>
      <c r="G402" s="18" t="n">
        <v>835000</v>
      </c>
      <c r="H402" s="18" t="n">
        <v>7200</v>
      </c>
      <c r="I402" s="19">
        <f>H402/G402</f>
        <v/>
      </c>
      <c r="J402" s="18">
        <f>H402*(1-Assumptions!$B$4)</f>
        <v/>
      </c>
      <c r="K402" s="20">
        <f>PMT(Assumptions!$B$2/12, 360, -G402*(1-Assumptions!$B$3))</f>
        <v/>
      </c>
      <c r="L402" s="20">
        <f>J402+K402</f>
        <v/>
      </c>
      <c r="M402" s="21">
        <f>IF(I402&gt;=0.01,50,IF(I402&gt;=0.0095,37,IF(I402&gt;=0.009,25,12)))</f>
        <v/>
      </c>
      <c r="N402" s="21">
        <f>IF(L402&gt;=2000,30,IF(L402&gt;=1000,20,IF(L402&gt;=500,10,5)))</f>
        <v/>
      </c>
      <c r="O402" s="21" t="n">
        <v>13</v>
      </c>
      <c r="P402" s="22">
        <f>M402+N402+O402</f>
        <v/>
      </c>
      <c r="Q402" s="16" t="inlineStr">
        <is>
          <t>A11942627</t>
        </is>
      </c>
      <c r="R402" s="16" t="inlineStr"/>
      <c r="S402" s="16" t="inlineStr"/>
    </row>
    <row r="403">
      <c r="A403" s="15">
        <f>HYPERLINK("https://www.google.com/search?q=A11788178+Miami+MLS+listing", "A11788178")</f>
        <v/>
      </c>
      <c r="B403" s="16" t="inlineStr">
        <is>
          <t>2640 NW 2nd St</t>
        </is>
      </c>
      <c r="C403" s="16" t="inlineStr">
        <is>
          <t>33069</t>
        </is>
      </c>
      <c r="D403" s="16" t="inlineStr">
        <is>
          <t>Broward County</t>
        </is>
      </c>
      <c r="E403" s="16" t="inlineStr">
        <is>
          <t>Fourplex</t>
        </is>
      </c>
      <c r="F403" s="17" t="n">
        <v>4</v>
      </c>
      <c r="G403" s="18" t="n">
        <v>785000</v>
      </c>
      <c r="H403" s="18" t="n">
        <v>5400</v>
      </c>
      <c r="I403" s="19">
        <f>H403/G403</f>
        <v/>
      </c>
      <c r="J403" s="18">
        <f>H403*(1-Assumptions!$B$4)</f>
        <v/>
      </c>
      <c r="K403" s="20">
        <f>PMT(Assumptions!$B$2/12, 360, -G403*(1-Assumptions!$B$3))</f>
        <v/>
      </c>
      <c r="L403" s="20">
        <f>J403+K403</f>
        <v/>
      </c>
      <c r="M403" s="21">
        <f>IF(I403&gt;=0.01,50,IF(I403&gt;=0.0095,37,IF(I403&gt;=0.009,25,12)))</f>
        <v/>
      </c>
      <c r="N403" s="21">
        <f>IF(L403&gt;=2000,30,IF(L403&gt;=1000,20,IF(L403&gt;=500,10,5)))</f>
        <v/>
      </c>
      <c r="O403" s="21" t="n">
        <v>13</v>
      </c>
      <c r="P403" s="22">
        <f>M403+N403+O403</f>
        <v/>
      </c>
      <c r="Q403" s="16" t="inlineStr">
        <is>
          <t>A11788178</t>
        </is>
      </c>
      <c r="R403" s="16" t="inlineStr"/>
      <c r="S403" s="16" t="inlineStr"/>
    </row>
    <row r="404">
      <c r="A404" s="15">
        <f>HYPERLINK("https://www.google.com/search?q=A11932746+Miami+MLS+listing", "A11932746")</f>
        <v/>
      </c>
      <c r="B404" s="16" t="inlineStr">
        <is>
          <t>831 NW 1st Ave</t>
        </is>
      </c>
      <c r="C404" s="16" t="inlineStr">
        <is>
          <t>33311</t>
        </is>
      </c>
      <c r="D404" s="16" t="inlineStr">
        <is>
          <t>Broward County</t>
        </is>
      </c>
      <c r="E404" s="16" t="inlineStr">
        <is>
          <t>Fourplex</t>
        </is>
      </c>
      <c r="F404" s="17" t="n">
        <v>4</v>
      </c>
      <c r="G404" s="18" t="n">
        <v>1049000</v>
      </c>
      <c r="H404" s="18" t="n">
        <v>7250</v>
      </c>
      <c r="I404" s="19">
        <f>H404/G404</f>
        <v/>
      </c>
      <c r="J404" s="18">
        <f>H404*(1-Assumptions!$B$4)</f>
        <v/>
      </c>
      <c r="K404" s="20">
        <f>PMT(Assumptions!$B$2/12, 360, -G404*(1-Assumptions!$B$3))</f>
        <v/>
      </c>
      <c r="L404" s="20">
        <f>J404+K404</f>
        <v/>
      </c>
      <c r="M404" s="21">
        <f>IF(I404&gt;=0.01,50,IF(I404&gt;=0.0095,37,IF(I404&gt;=0.009,25,12)))</f>
        <v/>
      </c>
      <c r="N404" s="21">
        <f>IF(L404&gt;=2000,30,IF(L404&gt;=1000,20,IF(L404&gt;=500,10,5)))</f>
        <v/>
      </c>
      <c r="O404" s="21" t="n">
        <v>13</v>
      </c>
      <c r="P404" s="22">
        <f>M404+N404+O404</f>
        <v/>
      </c>
      <c r="Q404" s="16" t="inlineStr">
        <is>
          <t>A11932746</t>
        </is>
      </c>
      <c r="R404" s="16" t="inlineStr"/>
      <c r="S404" s="16" t="inlineStr"/>
    </row>
    <row r="405">
      <c r="A405" s="15">
        <f>HYPERLINK("https://www.google.com/search?q=A11935905+Miami+MLS+listing", "A11935905")</f>
        <v/>
      </c>
      <c r="B405" s="16" t="inlineStr">
        <is>
          <t>2223 Liberty St</t>
        </is>
      </c>
      <c r="C405" s="16" t="inlineStr">
        <is>
          <t>33020</t>
        </is>
      </c>
      <c r="D405" s="16" t="inlineStr">
        <is>
          <t>Broward County</t>
        </is>
      </c>
      <c r="E405" s="16" t="inlineStr">
        <is>
          <t>Duplex</t>
        </is>
      </c>
      <c r="F405" s="17" t="n">
        <v>2</v>
      </c>
      <c r="G405" s="18" t="n">
        <v>699000</v>
      </c>
      <c r="H405" s="18" t="n">
        <v>5350</v>
      </c>
      <c r="I405" s="19">
        <f>H405/G405</f>
        <v/>
      </c>
      <c r="J405" s="18">
        <f>H405*(1-Assumptions!$B$4)</f>
        <v/>
      </c>
      <c r="K405" s="20">
        <f>PMT(Assumptions!$B$2/12, 360, -G405*(1-Assumptions!$B$3))</f>
        <v/>
      </c>
      <c r="L405" s="20">
        <f>J405+K405</f>
        <v/>
      </c>
      <c r="M405" s="21">
        <f>IF(I405&gt;=0.01,50,IF(I405&gt;=0.0095,37,IF(I405&gt;=0.009,25,12)))</f>
        <v/>
      </c>
      <c r="N405" s="21">
        <f>IF(L405&gt;=2000,30,IF(L405&gt;=1000,20,IF(L405&gt;=500,10,5)))</f>
        <v/>
      </c>
      <c r="O405" s="21" t="n">
        <v>13</v>
      </c>
      <c r="P405" s="22">
        <f>M405+N405+O405</f>
        <v/>
      </c>
      <c r="Q405" s="16" t="inlineStr">
        <is>
          <t>A11935905</t>
        </is>
      </c>
      <c r="R405" s="16" t="inlineStr"/>
      <c r="S405" s="16" t="inlineStr"/>
    </row>
    <row r="406">
      <c r="A406" s="15">
        <f>HYPERLINK("https://www.google.com/search?q=A11788508+Miami+MLS+listing", "A11788508")</f>
        <v/>
      </c>
      <c r="B406" s="16" t="inlineStr">
        <is>
          <t>2631 SW 13th Ave</t>
        </is>
      </c>
      <c r="C406" s="16" t="inlineStr">
        <is>
          <t>33315</t>
        </is>
      </c>
      <c r="D406" s="16" t="inlineStr">
        <is>
          <t>Broward County</t>
        </is>
      </c>
      <c r="E406" s="16" t="inlineStr">
        <is>
          <t>Triplex</t>
        </is>
      </c>
      <c r="F406" s="17" t="n">
        <v>3</v>
      </c>
      <c r="G406" s="18" t="n">
        <v>775000</v>
      </c>
      <c r="H406" s="18" t="n">
        <v>5300</v>
      </c>
      <c r="I406" s="19">
        <f>H406/G406</f>
        <v/>
      </c>
      <c r="J406" s="18">
        <f>H406*(1-Assumptions!$B$4)</f>
        <v/>
      </c>
      <c r="K406" s="20">
        <f>PMT(Assumptions!$B$2/12, 360, -G406*(1-Assumptions!$B$3))</f>
        <v/>
      </c>
      <c r="L406" s="20">
        <f>J406+K406</f>
        <v/>
      </c>
      <c r="M406" s="21">
        <f>IF(I406&gt;=0.01,50,IF(I406&gt;=0.0095,37,IF(I406&gt;=0.009,25,12)))</f>
        <v/>
      </c>
      <c r="N406" s="21">
        <f>IF(L406&gt;=2000,30,IF(L406&gt;=1000,20,IF(L406&gt;=500,10,5)))</f>
        <v/>
      </c>
      <c r="O406" s="21" t="n">
        <v>13</v>
      </c>
      <c r="P406" s="22">
        <f>M406+N406+O406</f>
        <v/>
      </c>
      <c r="Q406" s="16" t="inlineStr">
        <is>
          <t>A11788508</t>
        </is>
      </c>
      <c r="R406" s="16" t="inlineStr"/>
      <c r="S406" s="16" t="inlineStr"/>
    </row>
    <row r="407">
      <c r="A407" s="15">
        <f>HYPERLINK("https://www.google.com/search?q=A11914357+Miami+MLS+listing", "A11914357")</f>
        <v/>
      </c>
      <c r="B407" s="16" t="inlineStr">
        <is>
          <t>7810 SW 10th St</t>
        </is>
      </c>
      <c r="C407" s="16" t="inlineStr">
        <is>
          <t>33068</t>
        </is>
      </c>
      <c r="D407" s="16" t="inlineStr">
        <is>
          <t>Broward County</t>
        </is>
      </c>
      <c r="E407" s="16" t="inlineStr">
        <is>
          <t>Triplex</t>
        </is>
      </c>
      <c r="F407" s="17" t="n">
        <v>3</v>
      </c>
      <c r="G407" s="18" t="n">
        <v>689999</v>
      </c>
      <c r="H407" s="18" t="n">
        <v>5675</v>
      </c>
      <c r="I407" s="19">
        <f>H407/G407</f>
        <v/>
      </c>
      <c r="J407" s="18">
        <f>H407*(1-Assumptions!$B$4)</f>
        <v/>
      </c>
      <c r="K407" s="20">
        <f>PMT(Assumptions!$B$2/12, 360, -G407*(1-Assumptions!$B$3))</f>
        <v/>
      </c>
      <c r="L407" s="20">
        <f>J407+K407</f>
        <v/>
      </c>
      <c r="M407" s="21">
        <f>IF(I407&gt;=0.01,50,IF(I407&gt;=0.0095,37,IF(I407&gt;=0.009,25,12)))</f>
        <v/>
      </c>
      <c r="N407" s="21">
        <f>IF(L407&gt;=2000,30,IF(L407&gt;=1000,20,IF(L407&gt;=500,10,5)))</f>
        <v/>
      </c>
      <c r="O407" s="21" t="n">
        <v>13</v>
      </c>
      <c r="P407" s="22">
        <f>M407+N407+O407</f>
        <v/>
      </c>
      <c r="Q407" s="16" t="inlineStr">
        <is>
          <t>A11914357</t>
        </is>
      </c>
      <c r="R407" s="16" t="inlineStr"/>
      <c r="S407" s="16" t="inlineStr"/>
    </row>
    <row r="408">
      <c r="A408" s="15">
        <f>HYPERLINK("https://www.google.com/search?q=A11915069+Miami+MLS+listing", "A11915069")</f>
        <v/>
      </c>
      <c r="B408" s="16" t="inlineStr">
        <is>
          <t>817 Grant St</t>
        </is>
      </c>
      <c r="C408" s="16" t="inlineStr">
        <is>
          <t>33407</t>
        </is>
      </c>
      <c r="D408" s="16" t="inlineStr">
        <is>
          <t>Palm Beach County</t>
        </is>
      </c>
      <c r="E408" s="16" t="inlineStr">
        <is>
          <t>Triplex</t>
        </is>
      </c>
      <c r="F408" s="17" t="n">
        <v>3</v>
      </c>
      <c r="G408" s="18" t="n">
        <v>599000</v>
      </c>
      <c r="H408" s="18" t="n">
        <v>5275</v>
      </c>
      <c r="I408" s="19">
        <f>H408/G408</f>
        <v/>
      </c>
      <c r="J408" s="18">
        <f>H408*(1-Assumptions!$B$4)</f>
        <v/>
      </c>
      <c r="K408" s="20">
        <f>PMT(Assumptions!$B$2/12, 360, -G408*(1-Assumptions!$B$3))</f>
        <v/>
      </c>
      <c r="L408" s="20">
        <f>J408+K408</f>
        <v/>
      </c>
      <c r="M408" s="21">
        <f>IF(I408&gt;=0.01,50,IF(I408&gt;=0.0095,37,IF(I408&gt;=0.009,25,12)))</f>
        <v/>
      </c>
      <c r="N408" s="21">
        <f>IF(L408&gt;=2000,30,IF(L408&gt;=1000,20,IF(L408&gt;=500,10,5)))</f>
        <v/>
      </c>
      <c r="O408" s="21" t="n">
        <v>13</v>
      </c>
      <c r="P408" s="22">
        <f>M408+N408+O408</f>
        <v/>
      </c>
      <c r="Q408" s="16" t="inlineStr">
        <is>
          <t>A11915069</t>
        </is>
      </c>
      <c r="R408" s="16" t="inlineStr"/>
      <c r="S408" s="16" t="inlineStr"/>
    </row>
    <row r="409">
      <c r="A409" s="15">
        <f>HYPERLINK("https://www.google.com/search?q=A11945264+Miami+MLS+listing", "A11945264")</f>
        <v/>
      </c>
      <c r="B409" s="16" t="inlineStr">
        <is>
          <t>844 SW 10th St</t>
        </is>
      </c>
      <c r="C409" s="16" t="inlineStr">
        <is>
          <t>33009</t>
        </is>
      </c>
      <c r="D409" s="16" t="inlineStr">
        <is>
          <t>Broward County</t>
        </is>
      </c>
      <c r="E409" s="16" t="inlineStr">
        <is>
          <t>Triplex</t>
        </is>
      </c>
      <c r="F409" s="17" t="n">
        <v>3</v>
      </c>
      <c r="G409" s="18" t="n">
        <v>715000</v>
      </c>
      <c r="H409" s="18" t="n">
        <v>5270</v>
      </c>
      <c r="I409" s="19">
        <f>H409/G409</f>
        <v/>
      </c>
      <c r="J409" s="18">
        <f>H409*(1-Assumptions!$B$4)</f>
        <v/>
      </c>
      <c r="K409" s="20">
        <f>PMT(Assumptions!$B$2/12, 360, -G409*(1-Assumptions!$B$3))</f>
        <v/>
      </c>
      <c r="L409" s="20">
        <f>J409+K409</f>
        <v/>
      </c>
      <c r="M409" s="21">
        <f>IF(I409&gt;=0.01,50,IF(I409&gt;=0.0095,37,IF(I409&gt;=0.009,25,12)))</f>
        <v/>
      </c>
      <c r="N409" s="21">
        <f>IF(L409&gt;=2000,30,IF(L409&gt;=1000,20,IF(L409&gt;=500,10,5)))</f>
        <v/>
      </c>
      <c r="O409" s="21" t="n">
        <v>13</v>
      </c>
      <c r="P409" s="22">
        <f>M409+N409+O409</f>
        <v/>
      </c>
      <c r="Q409" s="16" t="inlineStr">
        <is>
          <t>A11945264</t>
        </is>
      </c>
      <c r="R409" s="16" t="inlineStr"/>
      <c r="S409" s="16" t="inlineStr"/>
    </row>
    <row r="410">
      <c r="A410" s="15">
        <f>HYPERLINK("https://www.google.com/search?q=A11968957+Miami+MLS+listing", "A11968957")</f>
        <v/>
      </c>
      <c r="B410" s="16" t="inlineStr">
        <is>
          <t>409 4th Ave N</t>
        </is>
      </c>
      <c r="C410" s="16" t="inlineStr">
        <is>
          <t>33460</t>
        </is>
      </c>
      <c r="D410" s="16" t="inlineStr">
        <is>
          <t>Palm Beach County</t>
        </is>
      </c>
      <c r="E410" s="16" t="inlineStr">
        <is>
          <t>Fourplex</t>
        </is>
      </c>
      <c r="F410" s="17" t="n">
        <v>4</v>
      </c>
      <c r="G410" s="18" t="n">
        <v>1960000</v>
      </c>
      <c r="H410" s="18" t="n">
        <v>5250</v>
      </c>
      <c r="I410" s="19">
        <f>H410/G410</f>
        <v/>
      </c>
      <c r="J410" s="18">
        <f>H410*(1-Assumptions!$B$4)</f>
        <v/>
      </c>
      <c r="K410" s="20">
        <f>PMT(Assumptions!$B$2/12, 360, -G410*(1-Assumptions!$B$3))</f>
        <v/>
      </c>
      <c r="L410" s="20">
        <f>J410+K410</f>
        <v/>
      </c>
      <c r="M410" s="21">
        <f>IF(I410&gt;=0.01,50,IF(I410&gt;=0.0095,37,IF(I410&gt;=0.009,25,12)))</f>
        <v/>
      </c>
      <c r="N410" s="21">
        <f>IF(L410&gt;=2000,30,IF(L410&gt;=1000,20,IF(L410&gt;=500,10,5)))</f>
        <v/>
      </c>
      <c r="O410" s="21" t="n">
        <v>13</v>
      </c>
      <c r="P410" s="22">
        <f>M410+N410+O410</f>
        <v/>
      </c>
      <c r="Q410" s="16" t="inlineStr">
        <is>
          <t>A11968957</t>
        </is>
      </c>
      <c r="R410" s="16" t="inlineStr"/>
      <c r="S410" s="16" t="inlineStr"/>
    </row>
    <row r="411">
      <c r="A411" s="15">
        <f>HYPERLINK("https://www.google.com/search?q=A11788202+Miami+MLS+listing", "A11788202")</f>
        <v/>
      </c>
      <c r="B411" s="16" t="inlineStr">
        <is>
          <t>2644 NW 2nd St</t>
        </is>
      </c>
      <c r="C411" s="16" t="inlineStr">
        <is>
          <t>33069</t>
        </is>
      </c>
      <c r="D411" s="16" t="inlineStr">
        <is>
          <t>Broward County</t>
        </is>
      </c>
      <c r="E411" s="16" t="inlineStr">
        <is>
          <t>Fourplex</t>
        </is>
      </c>
      <c r="F411" s="17" t="n">
        <v>4</v>
      </c>
      <c r="G411" s="18" t="n">
        <v>785000</v>
      </c>
      <c r="H411" s="18" t="n">
        <v>5200</v>
      </c>
      <c r="I411" s="19">
        <f>H411/G411</f>
        <v/>
      </c>
      <c r="J411" s="18">
        <f>H411*(1-Assumptions!$B$4)</f>
        <v/>
      </c>
      <c r="K411" s="20">
        <f>PMT(Assumptions!$B$2/12, 360, -G411*(1-Assumptions!$B$3))</f>
        <v/>
      </c>
      <c r="L411" s="20">
        <f>J411+K411</f>
        <v/>
      </c>
      <c r="M411" s="21">
        <f>IF(I411&gt;=0.01,50,IF(I411&gt;=0.0095,37,IF(I411&gt;=0.009,25,12)))</f>
        <v/>
      </c>
      <c r="N411" s="21">
        <f>IF(L411&gt;=2000,30,IF(L411&gt;=1000,20,IF(L411&gt;=500,10,5)))</f>
        <v/>
      </c>
      <c r="O411" s="21" t="n">
        <v>13</v>
      </c>
      <c r="P411" s="22">
        <f>M411+N411+O411</f>
        <v/>
      </c>
      <c r="Q411" s="16" t="inlineStr">
        <is>
          <t>A11788202</t>
        </is>
      </c>
      <c r="R411" s="16" t="inlineStr"/>
      <c r="S411" s="16" t="inlineStr"/>
    </row>
    <row r="412">
      <c r="A412" s="15">
        <f>HYPERLINK("https://www.google.com/search?q=A11959948+Miami+MLS+listing", "A11959948")</f>
        <v/>
      </c>
      <c r="B412" s="16" t="inlineStr">
        <is>
          <t>5926 Taft St</t>
        </is>
      </c>
      <c r="C412" s="16" t="inlineStr">
        <is>
          <t>33021</t>
        </is>
      </c>
      <c r="D412" s="16" t="inlineStr">
        <is>
          <t>Broward County</t>
        </is>
      </c>
      <c r="E412" s="16" t="inlineStr">
        <is>
          <t>Fourplex</t>
        </is>
      </c>
      <c r="F412" s="17" t="n">
        <v>4</v>
      </c>
      <c r="G412" s="18" t="n">
        <v>1250000</v>
      </c>
      <c r="H412" s="18" t="n">
        <v>5200</v>
      </c>
      <c r="I412" s="19">
        <f>H412/G412</f>
        <v/>
      </c>
      <c r="J412" s="18">
        <f>H412*(1-Assumptions!$B$4)</f>
        <v/>
      </c>
      <c r="K412" s="20">
        <f>PMT(Assumptions!$B$2/12, 360, -G412*(1-Assumptions!$B$3))</f>
        <v/>
      </c>
      <c r="L412" s="20">
        <f>J412+K412</f>
        <v/>
      </c>
      <c r="M412" s="21">
        <f>IF(I412&gt;=0.01,50,IF(I412&gt;=0.0095,37,IF(I412&gt;=0.009,25,12)))</f>
        <v/>
      </c>
      <c r="N412" s="21">
        <f>IF(L412&gt;=2000,30,IF(L412&gt;=1000,20,IF(L412&gt;=500,10,5)))</f>
        <v/>
      </c>
      <c r="O412" s="21" t="n">
        <v>13</v>
      </c>
      <c r="P412" s="22">
        <f>M412+N412+O412</f>
        <v/>
      </c>
      <c r="Q412" s="16" t="inlineStr">
        <is>
          <t>A11959948</t>
        </is>
      </c>
      <c r="R412" s="16" t="inlineStr"/>
      <c r="S412" s="16" t="inlineStr"/>
    </row>
    <row r="413">
      <c r="A413" s="15">
        <f>HYPERLINK("https://www.google.com/search?q=A11856841+Miami+MLS+listing", "A11856841")</f>
        <v/>
      </c>
      <c r="B413" s="16" t="inlineStr">
        <is>
          <t>716 SE 14th Ct #1-4</t>
        </is>
      </c>
      <c r="C413" s="16" t="inlineStr">
        <is>
          <t>33316</t>
        </is>
      </c>
      <c r="D413" s="16" t="inlineStr">
        <is>
          <t>Broward County</t>
        </is>
      </c>
      <c r="E413" s="16" t="inlineStr">
        <is>
          <t>Fourplex</t>
        </is>
      </c>
      <c r="F413" s="17" t="n">
        <v>4</v>
      </c>
      <c r="G413" s="18" t="n">
        <v>999900</v>
      </c>
      <c r="H413" s="18" t="n">
        <v>5150</v>
      </c>
      <c r="I413" s="19">
        <f>H413/G413</f>
        <v/>
      </c>
      <c r="J413" s="18">
        <f>H413*(1-Assumptions!$B$4)</f>
        <v/>
      </c>
      <c r="K413" s="20">
        <f>PMT(Assumptions!$B$2/12, 360, -G413*(1-Assumptions!$B$3))</f>
        <v/>
      </c>
      <c r="L413" s="20">
        <f>J413+K413</f>
        <v/>
      </c>
      <c r="M413" s="21">
        <f>IF(I413&gt;=0.01,50,IF(I413&gt;=0.0095,37,IF(I413&gt;=0.009,25,12)))</f>
        <v/>
      </c>
      <c r="N413" s="21">
        <f>IF(L413&gt;=2000,30,IF(L413&gt;=1000,20,IF(L413&gt;=500,10,5)))</f>
        <v/>
      </c>
      <c r="O413" s="21" t="n">
        <v>13</v>
      </c>
      <c r="P413" s="22">
        <f>M413+N413+O413</f>
        <v/>
      </c>
      <c r="Q413" s="16" t="inlineStr">
        <is>
          <t>A11856841</t>
        </is>
      </c>
      <c r="R413" s="16" t="inlineStr"/>
      <c r="S413" s="16" t="inlineStr"/>
    </row>
    <row r="414">
      <c r="A414" s="15">
        <f>HYPERLINK("https://www.google.com/search?q=A11723353+Miami+MLS+listing", "A11723353")</f>
        <v/>
      </c>
      <c r="B414" s="16" t="inlineStr">
        <is>
          <t>1231 NE 23rd Ave</t>
        </is>
      </c>
      <c r="C414" s="16" t="inlineStr">
        <is>
          <t>33062</t>
        </is>
      </c>
      <c r="D414" s="16" t="inlineStr">
        <is>
          <t>Broward County</t>
        </is>
      </c>
      <c r="E414" s="16" t="inlineStr">
        <is>
          <t>Fourplex</t>
        </is>
      </c>
      <c r="F414" s="17" t="n">
        <v>4</v>
      </c>
      <c r="G414" s="18" t="n">
        <v>1200000</v>
      </c>
      <c r="H414" s="18" t="n">
        <v>5150</v>
      </c>
      <c r="I414" s="19">
        <f>H414/G414</f>
        <v/>
      </c>
      <c r="J414" s="18">
        <f>H414*(1-Assumptions!$B$4)</f>
        <v/>
      </c>
      <c r="K414" s="20">
        <f>PMT(Assumptions!$B$2/12, 360, -G414*(1-Assumptions!$B$3))</f>
        <v/>
      </c>
      <c r="L414" s="20">
        <f>J414+K414</f>
        <v/>
      </c>
      <c r="M414" s="21">
        <f>IF(I414&gt;=0.01,50,IF(I414&gt;=0.0095,37,IF(I414&gt;=0.009,25,12)))</f>
        <v/>
      </c>
      <c r="N414" s="21">
        <f>IF(L414&gt;=2000,30,IF(L414&gt;=1000,20,IF(L414&gt;=500,10,5)))</f>
        <v/>
      </c>
      <c r="O414" s="21" t="n">
        <v>13</v>
      </c>
      <c r="P414" s="22">
        <f>M414+N414+O414</f>
        <v/>
      </c>
      <c r="Q414" s="16" t="inlineStr">
        <is>
          <t>A11723353</t>
        </is>
      </c>
      <c r="R414" s="16" t="inlineStr"/>
      <c r="S414" s="16" t="inlineStr"/>
    </row>
    <row r="415">
      <c r="A415" s="15">
        <f>HYPERLINK("https://www.google.com/search?q=A11944011+Miami+MLS+listing", "A11944011")</f>
        <v/>
      </c>
      <c r="B415" s="16" t="inlineStr">
        <is>
          <t>4120 SW 19th St</t>
        </is>
      </c>
      <c r="C415" s="16" t="inlineStr">
        <is>
          <t>33023</t>
        </is>
      </c>
      <c r="D415" s="16" t="inlineStr">
        <is>
          <t>Broward County</t>
        </is>
      </c>
      <c r="E415" s="16" t="inlineStr">
        <is>
          <t>Duplex</t>
        </is>
      </c>
      <c r="F415" s="17" t="n">
        <v>2</v>
      </c>
      <c r="G415" s="18" t="n">
        <v>660000</v>
      </c>
      <c r="H415" s="18" t="n">
        <v>5100</v>
      </c>
      <c r="I415" s="19">
        <f>H415/G415</f>
        <v/>
      </c>
      <c r="J415" s="18">
        <f>H415*(1-Assumptions!$B$4)</f>
        <v/>
      </c>
      <c r="K415" s="20">
        <f>PMT(Assumptions!$B$2/12, 360, -G415*(1-Assumptions!$B$3))</f>
        <v/>
      </c>
      <c r="L415" s="20">
        <f>J415+K415</f>
        <v/>
      </c>
      <c r="M415" s="21">
        <f>IF(I415&gt;=0.01,50,IF(I415&gt;=0.0095,37,IF(I415&gt;=0.009,25,12)))</f>
        <v/>
      </c>
      <c r="N415" s="21">
        <f>IF(L415&gt;=2000,30,IF(L415&gt;=1000,20,IF(L415&gt;=500,10,5)))</f>
        <v/>
      </c>
      <c r="O415" s="21" t="n">
        <v>13</v>
      </c>
      <c r="P415" s="22">
        <f>M415+N415+O415</f>
        <v/>
      </c>
      <c r="Q415" s="16" t="inlineStr">
        <is>
          <t>A11944011</t>
        </is>
      </c>
      <c r="R415" s="16" t="inlineStr"/>
      <c r="S415" s="16" t="inlineStr"/>
    </row>
    <row r="416">
      <c r="A416" s="15">
        <f>HYPERLINK("https://www.google.com/search?q=A11966475+Miami+MLS+listing", "A11966475")</f>
        <v/>
      </c>
      <c r="B416" s="16" t="inlineStr">
        <is>
          <t>3241 NE 17th Ave</t>
        </is>
      </c>
      <c r="C416" s="16" t="inlineStr">
        <is>
          <t>33334</t>
        </is>
      </c>
      <c r="D416" s="16" t="inlineStr">
        <is>
          <t>Broward County</t>
        </is>
      </c>
      <c r="E416" s="16" t="inlineStr">
        <is>
          <t>Duplex</t>
        </is>
      </c>
      <c r="F416" s="17" t="n">
        <v>2</v>
      </c>
      <c r="G416" s="18" t="n">
        <v>950000</v>
      </c>
      <c r="H416" s="18" t="n">
        <v>5700</v>
      </c>
      <c r="I416" s="19">
        <f>H416/G416</f>
        <v/>
      </c>
      <c r="J416" s="18">
        <f>H416*(1-Assumptions!$B$4)</f>
        <v/>
      </c>
      <c r="K416" s="20">
        <f>PMT(Assumptions!$B$2/12, 360, -G416*(1-Assumptions!$B$3))</f>
        <v/>
      </c>
      <c r="L416" s="20">
        <f>J416+K416</f>
        <v/>
      </c>
      <c r="M416" s="21">
        <f>IF(I416&gt;=0.01,50,IF(I416&gt;=0.0095,37,IF(I416&gt;=0.009,25,12)))</f>
        <v/>
      </c>
      <c r="N416" s="21">
        <f>IF(L416&gt;=2000,30,IF(L416&gt;=1000,20,IF(L416&gt;=500,10,5)))</f>
        <v/>
      </c>
      <c r="O416" s="21" t="n">
        <v>13</v>
      </c>
      <c r="P416" s="22">
        <f>M416+N416+O416</f>
        <v/>
      </c>
      <c r="Q416" s="16" t="inlineStr">
        <is>
          <t>A11966475</t>
        </is>
      </c>
      <c r="R416" s="16" t="inlineStr"/>
      <c r="S416" s="16" t="inlineStr"/>
    </row>
    <row r="417">
      <c r="A417" s="15">
        <f>HYPERLINK("https://www.google.com/search?q=A11794920+Miami+MLS+listing", "A11794920")</f>
        <v/>
      </c>
      <c r="B417" s="16" t="inlineStr">
        <is>
          <t>801 NE 18th Ave #1-4</t>
        </is>
      </c>
      <c r="C417" s="16" t="inlineStr">
        <is>
          <t>33304</t>
        </is>
      </c>
      <c r="D417" s="16" t="inlineStr">
        <is>
          <t>Broward County</t>
        </is>
      </c>
      <c r="E417" s="16" t="inlineStr">
        <is>
          <t>Fourplex</t>
        </is>
      </c>
      <c r="F417" s="17" t="n">
        <v>4</v>
      </c>
      <c r="G417" s="18" t="n">
        <v>1483000</v>
      </c>
      <c r="H417" s="18" t="n">
        <v>7490</v>
      </c>
      <c r="I417" s="19">
        <f>H417/G417</f>
        <v/>
      </c>
      <c r="J417" s="18">
        <f>H417*(1-Assumptions!$B$4)</f>
        <v/>
      </c>
      <c r="K417" s="20">
        <f>PMT(Assumptions!$B$2/12, 360, -G417*(1-Assumptions!$B$3))</f>
        <v/>
      </c>
      <c r="L417" s="20">
        <f>J417+K417</f>
        <v/>
      </c>
      <c r="M417" s="21">
        <f>IF(I417&gt;=0.01,50,IF(I417&gt;=0.0095,37,IF(I417&gt;=0.009,25,12)))</f>
        <v/>
      </c>
      <c r="N417" s="21">
        <f>IF(L417&gt;=2000,30,IF(L417&gt;=1000,20,IF(L417&gt;=500,10,5)))</f>
        <v/>
      </c>
      <c r="O417" s="21" t="n">
        <v>13</v>
      </c>
      <c r="P417" s="22">
        <f>M417+N417+O417</f>
        <v/>
      </c>
      <c r="Q417" s="16" t="inlineStr">
        <is>
          <t>A11794920</t>
        </is>
      </c>
      <c r="R417" s="16" t="inlineStr"/>
      <c r="S417" s="16" t="inlineStr"/>
    </row>
    <row r="418">
      <c r="A418" s="15">
        <f>HYPERLINK("https://www.google.com/search?q=A11946374+Miami+MLS+listing", "A11946374")</f>
        <v/>
      </c>
      <c r="B418" s="16" t="inlineStr">
        <is>
          <t>2610 Riverland Dr</t>
        </is>
      </c>
      <c r="C418" s="16" t="inlineStr">
        <is>
          <t>33312</t>
        </is>
      </c>
      <c r="D418" s="16" t="inlineStr">
        <is>
          <t>Broward County</t>
        </is>
      </c>
      <c r="E418" s="16" t="inlineStr">
        <is>
          <t>Duplex</t>
        </is>
      </c>
      <c r="F418" s="17" t="n">
        <v>2</v>
      </c>
      <c r="G418" s="18" t="n">
        <v>619000</v>
      </c>
      <c r="H418" s="18" t="n">
        <v>5100</v>
      </c>
      <c r="I418" s="19">
        <f>H418/G418</f>
        <v/>
      </c>
      <c r="J418" s="18">
        <f>H418*(1-Assumptions!$B$4)</f>
        <v/>
      </c>
      <c r="K418" s="20">
        <f>PMT(Assumptions!$B$2/12, 360, -G418*(1-Assumptions!$B$3))</f>
        <v/>
      </c>
      <c r="L418" s="20">
        <f>J418+K418</f>
        <v/>
      </c>
      <c r="M418" s="21">
        <f>IF(I418&gt;=0.01,50,IF(I418&gt;=0.0095,37,IF(I418&gt;=0.009,25,12)))</f>
        <v/>
      </c>
      <c r="N418" s="21">
        <f>IF(L418&gt;=2000,30,IF(L418&gt;=1000,20,IF(L418&gt;=500,10,5)))</f>
        <v/>
      </c>
      <c r="O418" s="21" t="n">
        <v>13</v>
      </c>
      <c r="P418" s="22">
        <f>M418+N418+O418</f>
        <v/>
      </c>
      <c r="Q418" s="16" t="inlineStr">
        <is>
          <t>A11946374</t>
        </is>
      </c>
      <c r="R418" s="16" t="inlineStr"/>
      <c r="S418" s="16" t="inlineStr"/>
    </row>
    <row r="419">
      <c r="A419" s="15">
        <f>HYPERLINK("https://www.google.com/search?q=A11970432+Miami+MLS+listing", "A11970432")</f>
        <v/>
      </c>
      <c r="B419" s="16" t="inlineStr">
        <is>
          <t>1918 Sheridan St</t>
        </is>
      </c>
      <c r="C419" s="16" t="inlineStr">
        <is>
          <t>33020</t>
        </is>
      </c>
      <c r="D419" s="16" t="inlineStr">
        <is>
          <t>Broward County</t>
        </is>
      </c>
      <c r="E419" s="16" t="inlineStr">
        <is>
          <t>Fourplex</t>
        </is>
      </c>
      <c r="F419" s="17" t="n">
        <v>4</v>
      </c>
      <c r="G419" s="18" t="n">
        <v>680000</v>
      </c>
      <c r="H419" s="18" t="n">
        <v>5100</v>
      </c>
      <c r="I419" s="19">
        <f>H419/G419</f>
        <v/>
      </c>
      <c r="J419" s="18">
        <f>H419*(1-Assumptions!$B$4)</f>
        <v/>
      </c>
      <c r="K419" s="20">
        <f>PMT(Assumptions!$B$2/12, 360, -G419*(1-Assumptions!$B$3))</f>
        <v/>
      </c>
      <c r="L419" s="20">
        <f>J419+K419</f>
        <v/>
      </c>
      <c r="M419" s="21">
        <f>IF(I419&gt;=0.01,50,IF(I419&gt;=0.0095,37,IF(I419&gt;=0.009,25,12)))</f>
        <v/>
      </c>
      <c r="N419" s="21">
        <f>IF(L419&gt;=2000,30,IF(L419&gt;=1000,20,IF(L419&gt;=500,10,5)))</f>
        <v/>
      </c>
      <c r="O419" s="21" t="n">
        <v>13</v>
      </c>
      <c r="P419" s="22">
        <f>M419+N419+O419</f>
        <v/>
      </c>
      <c r="Q419" s="16" t="inlineStr">
        <is>
          <t>A11970432</t>
        </is>
      </c>
      <c r="R419" s="16" t="inlineStr"/>
      <c r="S419" s="16" t="inlineStr"/>
    </row>
    <row r="420">
      <c r="A420" s="15">
        <f>HYPERLINK("https://www.google.com/search?q=A11944475+Miami+MLS+listing", "A11944475")</f>
        <v/>
      </c>
      <c r="B420" s="16" t="inlineStr">
        <is>
          <t>316 N 61st Ave</t>
        </is>
      </c>
      <c r="C420" s="16" t="inlineStr">
        <is>
          <t>33024</t>
        </is>
      </c>
      <c r="D420" s="16" t="inlineStr">
        <is>
          <t>Broward County</t>
        </is>
      </c>
      <c r="E420" s="16" t="inlineStr">
        <is>
          <t>Duplex</t>
        </is>
      </c>
      <c r="F420" s="17" t="n">
        <v>2</v>
      </c>
      <c r="G420" s="18" t="n">
        <v>685000</v>
      </c>
      <c r="H420" s="18" t="n">
        <v>4600</v>
      </c>
      <c r="I420" s="19">
        <f>H420/G420</f>
        <v/>
      </c>
      <c r="J420" s="18">
        <f>H420*(1-Assumptions!$B$4)</f>
        <v/>
      </c>
      <c r="K420" s="20">
        <f>PMT(Assumptions!$B$2/12, 360, -G420*(1-Assumptions!$B$3))</f>
        <v/>
      </c>
      <c r="L420" s="20">
        <f>J420+K420</f>
        <v/>
      </c>
      <c r="M420" s="21">
        <f>IF(I420&gt;=0.01,50,IF(I420&gt;=0.0095,37,IF(I420&gt;=0.009,25,12)))</f>
        <v/>
      </c>
      <c r="N420" s="21">
        <f>IF(L420&gt;=2000,30,IF(L420&gt;=1000,20,IF(L420&gt;=500,10,5)))</f>
        <v/>
      </c>
      <c r="O420" s="21" t="n">
        <v>13</v>
      </c>
      <c r="P420" s="22">
        <f>M420+N420+O420</f>
        <v/>
      </c>
      <c r="Q420" s="16" t="inlineStr">
        <is>
          <t>A11944475</t>
        </is>
      </c>
      <c r="R420" s="16" t="inlineStr"/>
      <c r="S420" s="16" t="inlineStr"/>
    </row>
    <row r="421">
      <c r="A421" s="15">
        <f>HYPERLINK("https://www.google.com/search?q=A11953221+Miami+MLS+listing", "A11953221")</f>
        <v/>
      </c>
      <c r="B421" s="16" t="inlineStr">
        <is>
          <t>812 13th St</t>
        </is>
      </c>
      <c r="C421" s="16" t="inlineStr">
        <is>
          <t>33401</t>
        </is>
      </c>
      <c r="D421" s="16" t="inlineStr">
        <is>
          <t>Palm Beach County</t>
        </is>
      </c>
      <c r="E421" s="16" t="inlineStr">
        <is>
          <t>Duplex</t>
        </is>
      </c>
      <c r="F421" s="17" t="n">
        <v>2</v>
      </c>
      <c r="G421" s="18" t="n">
        <v>689000</v>
      </c>
      <c r="H421" s="18" t="n">
        <v>5860</v>
      </c>
      <c r="I421" s="19">
        <f>H421/G421</f>
        <v/>
      </c>
      <c r="J421" s="18">
        <f>H421*(1-Assumptions!$B$4)</f>
        <v/>
      </c>
      <c r="K421" s="20">
        <f>PMT(Assumptions!$B$2/12, 360, -G421*(1-Assumptions!$B$3))</f>
        <v/>
      </c>
      <c r="L421" s="20">
        <f>J421+K421</f>
        <v/>
      </c>
      <c r="M421" s="21">
        <f>IF(I421&gt;=0.01,50,IF(I421&gt;=0.0095,37,IF(I421&gt;=0.009,25,12)))</f>
        <v/>
      </c>
      <c r="N421" s="21">
        <f>IF(L421&gt;=2000,30,IF(L421&gt;=1000,20,IF(L421&gt;=500,10,5)))</f>
        <v/>
      </c>
      <c r="O421" s="21" t="n">
        <v>13</v>
      </c>
      <c r="P421" s="22">
        <f>M421+N421+O421</f>
        <v/>
      </c>
      <c r="Q421" s="16" t="inlineStr">
        <is>
          <t>A11953221</t>
        </is>
      </c>
      <c r="R421" s="16" t="inlineStr"/>
      <c r="S421" s="16" t="inlineStr"/>
    </row>
    <row r="422">
      <c r="A422" s="15">
        <f>HYPERLINK("https://www.google.com/search?q=A11958218+Miami+MLS+listing", "A11958218")</f>
        <v/>
      </c>
      <c r="B422" s="16" t="inlineStr">
        <is>
          <t>1956 Madison St</t>
        </is>
      </c>
      <c r="C422" s="16" t="inlineStr">
        <is>
          <t>33020</t>
        </is>
      </c>
      <c r="D422" s="16" t="inlineStr">
        <is>
          <t>Broward County</t>
        </is>
      </c>
      <c r="E422" s="16" t="inlineStr">
        <is>
          <t>Duplex</t>
        </is>
      </c>
      <c r="F422" s="17" t="n">
        <v>2</v>
      </c>
      <c r="G422" s="18" t="n">
        <v>575000</v>
      </c>
      <c r="H422" s="18" t="n">
        <v>4550</v>
      </c>
      <c r="I422" s="19">
        <f>H422/G422</f>
        <v/>
      </c>
      <c r="J422" s="18">
        <f>H422*(1-Assumptions!$B$4)</f>
        <v/>
      </c>
      <c r="K422" s="20">
        <f>PMT(Assumptions!$B$2/12, 360, -G422*(1-Assumptions!$B$3))</f>
        <v/>
      </c>
      <c r="L422" s="20">
        <f>J422+K422</f>
        <v/>
      </c>
      <c r="M422" s="21">
        <f>IF(I422&gt;=0.01,50,IF(I422&gt;=0.0095,37,IF(I422&gt;=0.009,25,12)))</f>
        <v/>
      </c>
      <c r="N422" s="21">
        <f>IF(L422&gt;=2000,30,IF(L422&gt;=1000,20,IF(L422&gt;=500,10,5)))</f>
        <v/>
      </c>
      <c r="O422" s="21" t="n">
        <v>13</v>
      </c>
      <c r="P422" s="22">
        <f>M422+N422+O422</f>
        <v/>
      </c>
      <c r="Q422" s="16" t="inlineStr">
        <is>
          <t>A11958218</t>
        </is>
      </c>
      <c r="R422" s="16" t="inlineStr"/>
      <c r="S422" s="16" t="inlineStr"/>
    </row>
    <row r="423">
      <c r="A423" s="15">
        <f>HYPERLINK("https://www.google.com/search?q=A11914808+Miami+MLS+listing", "A11914808")</f>
        <v/>
      </c>
      <c r="B423" s="16" t="inlineStr">
        <is>
          <t>825 SW 10th St</t>
        </is>
      </c>
      <c r="C423" s="16" t="inlineStr">
        <is>
          <t>33009</t>
        </is>
      </c>
      <c r="D423" s="16" t="inlineStr">
        <is>
          <t>Broward County</t>
        </is>
      </c>
      <c r="E423" s="16" t="inlineStr">
        <is>
          <t>Fourplex</t>
        </is>
      </c>
      <c r="F423" s="17" t="n">
        <v>4</v>
      </c>
      <c r="G423" s="18" t="n">
        <v>1300000</v>
      </c>
      <c r="H423" s="18" t="n">
        <v>4400</v>
      </c>
      <c r="I423" s="19">
        <f>H423/G423</f>
        <v/>
      </c>
      <c r="J423" s="18">
        <f>H423*(1-Assumptions!$B$4)</f>
        <v/>
      </c>
      <c r="K423" s="20">
        <f>PMT(Assumptions!$B$2/12, 360, -G423*(1-Assumptions!$B$3))</f>
        <v/>
      </c>
      <c r="L423" s="20">
        <f>J423+K423</f>
        <v/>
      </c>
      <c r="M423" s="21">
        <f>IF(I423&gt;=0.01,50,IF(I423&gt;=0.0095,37,IF(I423&gt;=0.009,25,12)))</f>
        <v/>
      </c>
      <c r="N423" s="21">
        <f>IF(L423&gt;=2000,30,IF(L423&gt;=1000,20,IF(L423&gt;=500,10,5)))</f>
        <v/>
      </c>
      <c r="O423" s="21" t="n">
        <v>13</v>
      </c>
      <c r="P423" s="22">
        <f>M423+N423+O423</f>
        <v/>
      </c>
      <c r="Q423" s="16" t="inlineStr">
        <is>
          <t>A11914808</t>
        </is>
      </c>
      <c r="R423" s="16" t="inlineStr"/>
      <c r="S423" s="16" t="inlineStr"/>
    </row>
    <row r="424">
      <c r="A424" s="15">
        <f>HYPERLINK("https://www.google.com/search?q=A11925667+Miami+MLS+listing", "A11925667")</f>
        <v/>
      </c>
      <c r="B424" s="16" t="inlineStr">
        <is>
          <t>6134 SW 40th Ct</t>
        </is>
      </c>
      <c r="C424" s="16" t="inlineStr">
        <is>
          <t>33023</t>
        </is>
      </c>
      <c r="D424" s="16" t="inlineStr">
        <is>
          <t>Broward County</t>
        </is>
      </c>
      <c r="E424" s="16" t="inlineStr">
        <is>
          <t>Duplex</t>
        </is>
      </c>
      <c r="F424" s="17" t="n">
        <v>2</v>
      </c>
      <c r="G424" s="18" t="n">
        <v>579999</v>
      </c>
      <c r="H424" s="18" t="n">
        <v>4000</v>
      </c>
      <c r="I424" s="19">
        <f>H424/G424</f>
        <v/>
      </c>
      <c r="J424" s="18">
        <f>H424*(1-Assumptions!$B$4)</f>
        <v/>
      </c>
      <c r="K424" s="20">
        <f>PMT(Assumptions!$B$2/12, 360, -G424*(1-Assumptions!$B$3))</f>
        <v/>
      </c>
      <c r="L424" s="20">
        <f>J424+K424</f>
        <v/>
      </c>
      <c r="M424" s="21">
        <f>IF(I424&gt;=0.01,50,IF(I424&gt;=0.0095,37,IF(I424&gt;=0.009,25,12)))</f>
        <v/>
      </c>
      <c r="N424" s="21">
        <f>IF(L424&gt;=2000,30,IF(L424&gt;=1000,20,IF(L424&gt;=500,10,5)))</f>
        <v/>
      </c>
      <c r="O424" s="21" t="n">
        <v>13</v>
      </c>
      <c r="P424" s="22">
        <f>M424+N424+O424</f>
        <v/>
      </c>
      <c r="Q424" s="16" t="inlineStr">
        <is>
          <t>A11925667</t>
        </is>
      </c>
      <c r="R424" s="16" t="inlineStr"/>
      <c r="S424" s="16" t="inlineStr"/>
    </row>
    <row r="425">
      <c r="A425" s="15">
        <f>HYPERLINK("https://www.google.com/search?q=A11956831+Miami+MLS+listing", "A11956831")</f>
        <v/>
      </c>
      <c r="B425" s="16" t="inlineStr">
        <is>
          <t>240 SE 9th Ave</t>
        </is>
      </c>
      <c r="C425" s="16" t="inlineStr">
        <is>
          <t>33060</t>
        </is>
      </c>
      <c r="D425" s="16" t="inlineStr">
        <is>
          <t>Broward County</t>
        </is>
      </c>
      <c r="E425" s="16" t="inlineStr">
        <is>
          <t>Fourplex</t>
        </is>
      </c>
      <c r="F425" s="17" t="n">
        <v>4</v>
      </c>
      <c r="G425" s="18" t="n">
        <v>900000</v>
      </c>
      <c r="H425" s="18" t="n">
        <v>7000</v>
      </c>
      <c r="I425" s="19">
        <f>H425/G425</f>
        <v/>
      </c>
      <c r="J425" s="18">
        <f>H425*(1-Assumptions!$B$4)</f>
        <v/>
      </c>
      <c r="K425" s="20">
        <f>PMT(Assumptions!$B$2/12, 360, -G425*(1-Assumptions!$B$3))</f>
        <v/>
      </c>
      <c r="L425" s="20">
        <f>J425+K425</f>
        <v/>
      </c>
      <c r="M425" s="21">
        <f>IF(I425&gt;=0.01,50,IF(I425&gt;=0.0095,37,IF(I425&gt;=0.009,25,12)))</f>
        <v/>
      </c>
      <c r="N425" s="21">
        <f>IF(L425&gt;=2000,30,IF(L425&gt;=1000,20,IF(L425&gt;=500,10,5)))</f>
        <v/>
      </c>
      <c r="O425" s="21" t="n">
        <v>13</v>
      </c>
      <c r="P425" s="22">
        <f>M425+N425+O425</f>
        <v/>
      </c>
      <c r="Q425" s="16" t="inlineStr">
        <is>
          <t>A11956831</t>
        </is>
      </c>
      <c r="R425" s="16" t="inlineStr"/>
      <c r="S425" s="16" t="inlineStr"/>
    </row>
    <row r="426">
      <c r="A426" s="15">
        <f>HYPERLINK("https://www.google.com/search?q=A11881520+Miami+MLS+listing", "A11881520")</f>
        <v/>
      </c>
      <c r="B426" s="16" t="inlineStr">
        <is>
          <t>2651 Riverland Dr</t>
        </is>
      </c>
      <c r="C426" s="16" t="inlineStr">
        <is>
          <t>33312</t>
        </is>
      </c>
      <c r="D426" s="16" t="inlineStr">
        <is>
          <t>Broward County</t>
        </is>
      </c>
      <c r="E426" s="16" t="inlineStr">
        <is>
          <t>Duplex</t>
        </is>
      </c>
      <c r="F426" s="17" t="n">
        <v>2</v>
      </c>
      <c r="G426" s="18" t="n">
        <v>629000</v>
      </c>
      <c r="H426" s="18" t="n">
        <v>4000</v>
      </c>
      <c r="I426" s="19">
        <f>H426/G426</f>
        <v/>
      </c>
      <c r="J426" s="18">
        <f>H426*(1-Assumptions!$B$4)</f>
        <v/>
      </c>
      <c r="K426" s="20">
        <f>PMT(Assumptions!$B$2/12, 360, -G426*(1-Assumptions!$B$3))</f>
        <v/>
      </c>
      <c r="L426" s="20">
        <f>J426+K426</f>
        <v/>
      </c>
      <c r="M426" s="21">
        <f>IF(I426&gt;=0.01,50,IF(I426&gt;=0.0095,37,IF(I426&gt;=0.009,25,12)))</f>
        <v/>
      </c>
      <c r="N426" s="21">
        <f>IF(L426&gt;=2000,30,IF(L426&gt;=1000,20,IF(L426&gt;=500,10,5)))</f>
        <v/>
      </c>
      <c r="O426" s="21" t="n">
        <v>13</v>
      </c>
      <c r="P426" s="22">
        <f>M426+N426+O426</f>
        <v/>
      </c>
      <c r="Q426" s="16" t="inlineStr">
        <is>
          <t>A11881520</t>
        </is>
      </c>
      <c r="R426" s="16" t="inlineStr"/>
      <c r="S426" s="16" t="inlineStr"/>
    </row>
    <row r="427">
      <c r="A427" s="15">
        <f>HYPERLINK("https://www.google.com/search?q=A11941256+Miami+MLS+listing", "A11941256")</f>
        <v/>
      </c>
      <c r="B427" s="16" t="inlineStr">
        <is>
          <t>130 - 132 - 134 - 136 SW 8th Ave</t>
        </is>
      </c>
      <c r="C427" s="16" t="inlineStr">
        <is>
          <t>33444</t>
        </is>
      </c>
      <c r="D427" s="16" t="inlineStr">
        <is>
          <t>Palm Beach County</t>
        </is>
      </c>
      <c r="E427" s="16" t="inlineStr">
        <is>
          <t>Fourplex</t>
        </is>
      </c>
      <c r="F427" s="17" t="n">
        <v>4</v>
      </c>
      <c r="G427" s="18" t="n">
        <v>1000000</v>
      </c>
      <c r="H427" s="18" t="n">
        <v>7200</v>
      </c>
      <c r="I427" s="19">
        <f>H427/G427</f>
        <v/>
      </c>
      <c r="J427" s="18">
        <f>H427*(1-Assumptions!$B$4)</f>
        <v/>
      </c>
      <c r="K427" s="20">
        <f>PMT(Assumptions!$B$2/12, 360, -G427*(1-Assumptions!$B$3))</f>
        <v/>
      </c>
      <c r="L427" s="20">
        <f>J427+K427</f>
        <v/>
      </c>
      <c r="M427" s="21">
        <f>IF(I427&gt;=0.01,50,IF(I427&gt;=0.0095,37,IF(I427&gt;=0.009,25,12)))</f>
        <v/>
      </c>
      <c r="N427" s="21">
        <f>IF(L427&gt;=2000,30,IF(L427&gt;=1000,20,IF(L427&gt;=500,10,5)))</f>
        <v/>
      </c>
      <c r="O427" s="21" t="n">
        <v>13</v>
      </c>
      <c r="P427" s="22">
        <f>M427+N427+O427</f>
        <v/>
      </c>
      <c r="Q427" s="16" t="inlineStr">
        <is>
          <t>A11941256</t>
        </is>
      </c>
      <c r="R427" s="16" t="inlineStr"/>
      <c r="S427" s="16" t="inlineStr"/>
    </row>
    <row r="428">
      <c r="A428" s="15">
        <f>HYPERLINK("https://www.google.com/search?q=A11951700+Miami+MLS+listing", "A11951700")</f>
        <v/>
      </c>
      <c r="B428" s="16" t="inlineStr">
        <is>
          <t>3020 NW 2nd St</t>
        </is>
      </c>
      <c r="C428" s="16" t="inlineStr">
        <is>
          <t>33069</t>
        </is>
      </c>
      <c r="D428" s="16" t="inlineStr">
        <is>
          <t>Broward County</t>
        </is>
      </c>
      <c r="E428" s="16" t="inlineStr">
        <is>
          <t>Triplex</t>
        </is>
      </c>
      <c r="F428" s="17" t="n">
        <v>3</v>
      </c>
      <c r="G428" s="18" t="n">
        <v>610000</v>
      </c>
      <c r="H428" s="18" t="n">
        <v>3900</v>
      </c>
      <c r="I428" s="19">
        <f>H428/G428</f>
        <v/>
      </c>
      <c r="J428" s="18">
        <f>H428*(1-Assumptions!$B$4)</f>
        <v/>
      </c>
      <c r="K428" s="20">
        <f>PMT(Assumptions!$B$2/12, 360, -G428*(1-Assumptions!$B$3))</f>
        <v/>
      </c>
      <c r="L428" s="20">
        <f>J428+K428</f>
        <v/>
      </c>
      <c r="M428" s="21">
        <f>IF(I428&gt;=0.01,50,IF(I428&gt;=0.0095,37,IF(I428&gt;=0.009,25,12)))</f>
        <v/>
      </c>
      <c r="N428" s="21">
        <f>IF(L428&gt;=2000,30,IF(L428&gt;=1000,20,IF(L428&gt;=500,10,5)))</f>
        <v/>
      </c>
      <c r="O428" s="21" t="n">
        <v>13</v>
      </c>
      <c r="P428" s="22">
        <f>M428+N428+O428</f>
        <v/>
      </c>
      <c r="Q428" s="16" t="inlineStr">
        <is>
          <t>A11951700</t>
        </is>
      </c>
      <c r="R428" s="16" t="inlineStr"/>
      <c r="S428" s="16" t="inlineStr"/>
    </row>
    <row r="429">
      <c r="A429" s="15">
        <f>HYPERLINK("https://www.google.com/search?q=A11973142+Miami+MLS+listing", "A11973142")</f>
        <v/>
      </c>
      <c r="B429" s="16" t="inlineStr">
        <is>
          <t>1920 NE 2nd Ter</t>
        </is>
      </c>
      <c r="C429" s="16" t="inlineStr">
        <is>
          <t>33060</t>
        </is>
      </c>
      <c r="D429" s="16" t="inlineStr">
        <is>
          <t>Broward County</t>
        </is>
      </c>
      <c r="E429" s="16" t="inlineStr">
        <is>
          <t>Duplex</t>
        </is>
      </c>
      <c r="F429" s="17" t="n">
        <v>2</v>
      </c>
      <c r="G429" s="18" t="n">
        <v>486990</v>
      </c>
      <c r="H429" s="18" t="n">
        <v>3900</v>
      </c>
      <c r="I429" s="19">
        <f>H429/G429</f>
        <v/>
      </c>
      <c r="J429" s="18">
        <f>H429*(1-Assumptions!$B$4)</f>
        <v/>
      </c>
      <c r="K429" s="20">
        <f>PMT(Assumptions!$B$2/12, 360, -G429*(1-Assumptions!$B$3))</f>
        <v/>
      </c>
      <c r="L429" s="20">
        <f>J429+K429</f>
        <v/>
      </c>
      <c r="M429" s="21">
        <f>IF(I429&gt;=0.01,50,IF(I429&gt;=0.0095,37,IF(I429&gt;=0.009,25,12)))</f>
        <v/>
      </c>
      <c r="N429" s="21">
        <f>IF(L429&gt;=2000,30,IF(L429&gt;=1000,20,IF(L429&gt;=500,10,5)))</f>
        <v/>
      </c>
      <c r="O429" s="21" t="n">
        <v>13</v>
      </c>
      <c r="P429" s="22">
        <f>M429+N429+O429</f>
        <v/>
      </c>
      <c r="Q429" s="16" t="inlineStr">
        <is>
          <t>A11973142</t>
        </is>
      </c>
      <c r="R429" s="16" t="inlineStr"/>
      <c r="S429" s="16" t="inlineStr"/>
    </row>
    <row r="430">
      <c r="A430" s="15">
        <f>HYPERLINK("https://www.google.com/search?q=A11858108+Miami+MLS+listing", "A11858108")</f>
        <v/>
      </c>
      <c r="B430" s="16" t="inlineStr">
        <is>
          <t>1530 Crescent Cir</t>
        </is>
      </c>
      <c r="C430" s="16" t="inlineStr">
        <is>
          <t>33403</t>
        </is>
      </c>
      <c r="D430" s="16" t="inlineStr">
        <is>
          <t>Palm Beach County</t>
        </is>
      </c>
      <c r="E430" s="16" t="inlineStr">
        <is>
          <t>Fourplex</t>
        </is>
      </c>
      <c r="F430" s="17" t="n">
        <v>4</v>
      </c>
      <c r="G430" s="18" t="n">
        <v>2400000</v>
      </c>
      <c r="H430" s="18" t="n">
        <v>9000</v>
      </c>
      <c r="I430" s="19">
        <f>H430/G430</f>
        <v/>
      </c>
      <c r="J430" s="18">
        <f>H430*(1-Assumptions!$B$4)</f>
        <v/>
      </c>
      <c r="K430" s="20">
        <f>PMT(Assumptions!$B$2/12, 360, -G430*(1-Assumptions!$B$3))</f>
        <v/>
      </c>
      <c r="L430" s="20">
        <f>J430+K430</f>
        <v/>
      </c>
      <c r="M430" s="21">
        <f>IF(I430&gt;=0.01,50,IF(I430&gt;=0.0095,37,IF(I430&gt;=0.009,25,12)))</f>
        <v/>
      </c>
      <c r="N430" s="21">
        <f>IF(L430&gt;=2000,30,IF(L430&gt;=1000,20,IF(L430&gt;=500,10,5)))</f>
        <v/>
      </c>
      <c r="O430" s="21" t="n">
        <v>13</v>
      </c>
      <c r="P430" s="22">
        <f>M430+N430+O430</f>
        <v/>
      </c>
      <c r="Q430" s="16" t="inlineStr">
        <is>
          <t>A11858108</t>
        </is>
      </c>
      <c r="R430" s="16" t="inlineStr"/>
      <c r="S430" s="16" t="inlineStr"/>
    </row>
    <row r="431">
      <c r="A431" s="15">
        <f>HYPERLINK("https://www.google.com/search?q=A11935356+Miami+MLS+listing", "A11935356")</f>
        <v/>
      </c>
      <c r="B431" s="16" t="inlineStr">
        <is>
          <t>1812 Coolidge St</t>
        </is>
      </c>
      <c r="C431" s="16" t="inlineStr">
        <is>
          <t>33020</t>
        </is>
      </c>
      <c r="D431" s="16" t="inlineStr">
        <is>
          <t>Broward County</t>
        </is>
      </c>
      <c r="E431" s="16" t="inlineStr">
        <is>
          <t>Fourplex</t>
        </is>
      </c>
      <c r="F431" s="17" t="n">
        <v>4</v>
      </c>
      <c r="G431" s="18" t="n">
        <v>899000</v>
      </c>
      <c r="H431" s="18" t="n">
        <v>6150</v>
      </c>
      <c r="I431" s="19">
        <f>H431/G431</f>
        <v/>
      </c>
      <c r="J431" s="18">
        <f>H431*(1-Assumptions!$B$4)</f>
        <v/>
      </c>
      <c r="K431" s="20">
        <f>PMT(Assumptions!$B$2/12, 360, -G431*(1-Assumptions!$B$3))</f>
        <v/>
      </c>
      <c r="L431" s="20">
        <f>J431+K431</f>
        <v/>
      </c>
      <c r="M431" s="21">
        <f>IF(I431&gt;=0.01,50,IF(I431&gt;=0.0095,37,IF(I431&gt;=0.009,25,12)))</f>
        <v/>
      </c>
      <c r="N431" s="21">
        <f>IF(L431&gt;=2000,30,IF(L431&gt;=1000,20,IF(L431&gt;=500,10,5)))</f>
        <v/>
      </c>
      <c r="O431" s="21" t="n">
        <v>13</v>
      </c>
      <c r="P431" s="22">
        <f>M431+N431+O431</f>
        <v/>
      </c>
      <c r="Q431" s="16" t="inlineStr">
        <is>
          <t>A11935356</t>
        </is>
      </c>
      <c r="R431" s="16" t="inlineStr"/>
      <c r="S431" s="16" t="inlineStr"/>
    </row>
    <row r="432">
      <c r="A432" s="15">
        <f>HYPERLINK("https://www.google.com/search?q=A11886820+Miami+MLS+listing", "A11886820")</f>
        <v/>
      </c>
      <c r="B432" s="16" t="inlineStr">
        <is>
          <t>5401 NE 18th Ave</t>
        </is>
      </c>
      <c r="C432" s="16" t="inlineStr">
        <is>
          <t>33334</t>
        </is>
      </c>
      <c r="D432" s="16" t="inlineStr">
        <is>
          <t>Broward County</t>
        </is>
      </c>
      <c r="E432" s="16" t="inlineStr">
        <is>
          <t>Duplex</t>
        </is>
      </c>
      <c r="F432" s="17" t="n">
        <v>2</v>
      </c>
      <c r="G432" s="18" t="n">
        <v>663000</v>
      </c>
      <c r="H432" s="18" t="n">
        <v>3898</v>
      </c>
      <c r="I432" s="19">
        <f>H432/G432</f>
        <v/>
      </c>
      <c r="J432" s="18">
        <f>H432*(1-Assumptions!$B$4)</f>
        <v/>
      </c>
      <c r="K432" s="20">
        <f>PMT(Assumptions!$B$2/12, 360, -G432*(1-Assumptions!$B$3))</f>
        <v/>
      </c>
      <c r="L432" s="20">
        <f>J432+K432</f>
        <v/>
      </c>
      <c r="M432" s="21">
        <f>IF(I432&gt;=0.01,50,IF(I432&gt;=0.0095,37,IF(I432&gt;=0.009,25,12)))</f>
        <v/>
      </c>
      <c r="N432" s="21">
        <f>IF(L432&gt;=2000,30,IF(L432&gt;=1000,20,IF(L432&gt;=500,10,5)))</f>
        <v/>
      </c>
      <c r="O432" s="21" t="n">
        <v>13</v>
      </c>
      <c r="P432" s="22">
        <f>M432+N432+O432</f>
        <v/>
      </c>
      <c r="Q432" s="16" t="inlineStr">
        <is>
          <t>A11886820</t>
        </is>
      </c>
      <c r="R432" s="16" t="inlineStr"/>
      <c r="S432" s="16" t="inlineStr"/>
    </row>
    <row r="433">
      <c r="A433" s="15">
        <f>HYPERLINK("https://www.google.com/search?q=A11911327+Miami+MLS+listing", "A11911327")</f>
        <v/>
      </c>
      <c r="B433" s="16" t="inlineStr">
        <is>
          <t>608 SW 16th Ave</t>
        </is>
      </c>
      <c r="C433" s="16" t="inlineStr">
        <is>
          <t>33312</t>
        </is>
      </c>
      <c r="D433" s="16" t="inlineStr">
        <is>
          <t>Broward County</t>
        </is>
      </c>
      <c r="E433" s="16" t="inlineStr">
        <is>
          <t>Fourplex</t>
        </is>
      </c>
      <c r="F433" s="17" t="n">
        <v>4</v>
      </c>
      <c r="G433" s="18" t="n">
        <v>1500000</v>
      </c>
      <c r="H433" s="18" t="n">
        <v>9200</v>
      </c>
      <c r="I433" s="19">
        <f>H433/G433</f>
        <v/>
      </c>
      <c r="J433" s="18">
        <f>H433*(1-Assumptions!$B$4)</f>
        <v/>
      </c>
      <c r="K433" s="20">
        <f>PMT(Assumptions!$B$2/12, 360, -G433*(1-Assumptions!$B$3))</f>
        <v/>
      </c>
      <c r="L433" s="20">
        <f>J433+K433</f>
        <v/>
      </c>
      <c r="M433" s="21">
        <f>IF(I433&gt;=0.01,50,IF(I433&gt;=0.0095,37,IF(I433&gt;=0.009,25,12)))</f>
        <v/>
      </c>
      <c r="N433" s="21">
        <f>IF(L433&gt;=2000,30,IF(L433&gt;=1000,20,IF(L433&gt;=500,10,5)))</f>
        <v/>
      </c>
      <c r="O433" s="21" t="n">
        <v>13</v>
      </c>
      <c r="P433" s="22">
        <f>M433+N433+O433</f>
        <v/>
      </c>
      <c r="Q433" s="16" t="inlineStr">
        <is>
          <t>A11911327</t>
        </is>
      </c>
      <c r="R433" s="16" t="inlineStr"/>
      <c r="S433" s="16" t="inlineStr"/>
    </row>
    <row r="434">
      <c r="A434" s="15">
        <f>HYPERLINK("https://www.google.com/search?q=A11941616+Miami+MLS+listing", "A11941616")</f>
        <v/>
      </c>
      <c r="B434" s="16" t="inlineStr">
        <is>
          <t>101 NW 13th Ave</t>
        </is>
      </c>
      <c r="C434" s="16" t="inlineStr">
        <is>
          <t>33004</t>
        </is>
      </c>
      <c r="D434" s="16" t="inlineStr">
        <is>
          <t>Broward County</t>
        </is>
      </c>
      <c r="E434" s="16" t="inlineStr">
        <is>
          <t>Duplex</t>
        </is>
      </c>
      <c r="F434" s="17" t="n">
        <v>2</v>
      </c>
      <c r="G434" s="18" t="n">
        <v>584900</v>
      </c>
      <c r="H434" s="18" t="n">
        <v>3800</v>
      </c>
      <c r="I434" s="19">
        <f>H434/G434</f>
        <v/>
      </c>
      <c r="J434" s="18">
        <f>H434*(1-Assumptions!$B$4)</f>
        <v/>
      </c>
      <c r="K434" s="20">
        <f>PMT(Assumptions!$B$2/12, 360, -G434*(1-Assumptions!$B$3))</f>
        <v/>
      </c>
      <c r="L434" s="20">
        <f>J434+K434</f>
        <v/>
      </c>
      <c r="M434" s="21">
        <f>IF(I434&gt;=0.01,50,IF(I434&gt;=0.0095,37,IF(I434&gt;=0.009,25,12)))</f>
        <v/>
      </c>
      <c r="N434" s="21">
        <f>IF(L434&gt;=2000,30,IF(L434&gt;=1000,20,IF(L434&gt;=500,10,5)))</f>
        <v/>
      </c>
      <c r="O434" s="21" t="n">
        <v>13</v>
      </c>
      <c r="P434" s="22">
        <f>M434+N434+O434</f>
        <v/>
      </c>
      <c r="Q434" s="16" t="inlineStr">
        <is>
          <t>A11941616</t>
        </is>
      </c>
      <c r="R434" s="16" t="inlineStr"/>
      <c r="S434" s="16" t="inlineStr"/>
    </row>
    <row r="435">
      <c r="A435" s="15">
        <f>HYPERLINK("https://www.google.com/search?q=A11948899+Miami+MLS+listing", "A11948899")</f>
        <v/>
      </c>
      <c r="B435" s="16" t="inlineStr">
        <is>
          <t>620 SW 7th St #1-7</t>
        </is>
      </c>
      <c r="C435" s="16" t="inlineStr">
        <is>
          <t>33060</t>
        </is>
      </c>
      <c r="D435" s="16" t="inlineStr">
        <is>
          <t>Broward County</t>
        </is>
      </c>
      <c r="E435" s="16" t="inlineStr">
        <is>
          <t>Fourplex</t>
        </is>
      </c>
      <c r="F435" s="17" t="n">
        <v>4</v>
      </c>
      <c r="G435" s="18" t="n">
        <v>1450000</v>
      </c>
      <c r="H435" s="18" t="n">
        <v>6200</v>
      </c>
      <c r="I435" s="19">
        <f>H435/G435</f>
        <v/>
      </c>
      <c r="J435" s="18">
        <f>H435*(1-Assumptions!$B$4)</f>
        <v/>
      </c>
      <c r="K435" s="20">
        <f>PMT(Assumptions!$B$2/12, 360, -G435*(1-Assumptions!$B$3))</f>
        <v/>
      </c>
      <c r="L435" s="20">
        <f>J435+K435</f>
        <v/>
      </c>
      <c r="M435" s="21">
        <f>IF(I435&gt;=0.01,50,IF(I435&gt;=0.0095,37,IF(I435&gt;=0.009,25,12)))</f>
        <v/>
      </c>
      <c r="N435" s="21">
        <f>IF(L435&gt;=2000,30,IF(L435&gt;=1000,20,IF(L435&gt;=500,10,5)))</f>
        <v/>
      </c>
      <c r="O435" s="21" t="n">
        <v>13</v>
      </c>
      <c r="P435" s="22">
        <f>M435+N435+O435</f>
        <v/>
      </c>
      <c r="Q435" s="16" t="inlineStr">
        <is>
          <t>A11948899</t>
        </is>
      </c>
      <c r="R435" s="16" t="inlineStr"/>
      <c r="S435" s="16" t="inlineStr"/>
    </row>
    <row r="436">
      <c r="A436" s="15">
        <f>HYPERLINK("https://www.google.com/search?q=A11788500+Miami+MLS+listing", "A11788500")</f>
        <v/>
      </c>
      <c r="B436" s="16" t="inlineStr">
        <is>
          <t>2641 SW 13th Ave</t>
        </is>
      </c>
      <c r="C436" s="16" t="inlineStr">
        <is>
          <t>33315</t>
        </is>
      </c>
      <c r="D436" s="16" t="inlineStr">
        <is>
          <t>Broward County</t>
        </is>
      </c>
      <c r="E436" s="16" t="inlineStr">
        <is>
          <t>Duplex</t>
        </is>
      </c>
      <c r="F436" s="17" t="n">
        <v>2</v>
      </c>
      <c r="G436" s="18" t="n">
        <v>625000</v>
      </c>
      <c r="H436" s="18" t="n">
        <v>3750</v>
      </c>
      <c r="I436" s="19">
        <f>H436/G436</f>
        <v/>
      </c>
      <c r="J436" s="18">
        <f>H436*(1-Assumptions!$B$4)</f>
        <v/>
      </c>
      <c r="K436" s="20">
        <f>PMT(Assumptions!$B$2/12, 360, -G436*(1-Assumptions!$B$3))</f>
        <v/>
      </c>
      <c r="L436" s="20">
        <f>J436+K436</f>
        <v/>
      </c>
      <c r="M436" s="21">
        <f>IF(I436&gt;=0.01,50,IF(I436&gt;=0.0095,37,IF(I436&gt;=0.009,25,12)))</f>
        <v/>
      </c>
      <c r="N436" s="21">
        <f>IF(L436&gt;=2000,30,IF(L436&gt;=1000,20,IF(L436&gt;=500,10,5)))</f>
        <v/>
      </c>
      <c r="O436" s="21" t="n">
        <v>13</v>
      </c>
      <c r="P436" s="22">
        <f>M436+N436+O436</f>
        <v/>
      </c>
      <c r="Q436" s="16" t="inlineStr">
        <is>
          <t>A11788500</t>
        </is>
      </c>
      <c r="R436" s="16" t="inlineStr"/>
      <c r="S436" s="16" t="inlineStr"/>
    </row>
    <row r="437">
      <c r="A437" s="15">
        <f>HYPERLINK("https://www.google.com/search?q=A11955305+Miami+MLS+listing", "A11955305")</f>
        <v/>
      </c>
      <c r="B437" s="16" t="inlineStr">
        <is>
          <t>3705 SW 13th Ct</t>
        </is>
      </c>
      <c r="C437" s="16" t="inlineStr">
        <is>
          <t>33312</t>
        </is>
      </c>
      <c r="D437" s="16" t="inlineStr">
        <is>
          <t>Broward County</t>
        </is>
      </c>
      <c r="E437" s="16" t="inlineStr">
        <is>
          <t>Fourplex</t>
        </is>
      </c>
      <c r="F437" s="17" t="n">
        <v>4</v>
      </c>
      <c r="G437" s="18" t="n">
        <v>669000</v>
      </c>
      <c r="H437" s="18" t="n">
        <v>3750</v>
      </c>
      <c r="I437" s="19">
        <f>H437/G437</f>
        <v/>
      </c>
      <c r="J437" s="18">
        <f>H437*(1-Assumptions!$B$4)</f>
        <v/>
      </c>
      <c r="K437" s="20">
        <f>PMT(Assumptions!$B$2/12, 360, -G437*(1-Assumptions!$B$3))</f>
        <v/>
      </c>
      <c r="L437" s="20">
        <f>J437+K437</f>
        <v/>
      </c>
      <c r="M437" s="21">
        <f>IF(I437&gt;=0.01,50,IF(I437&gt;=0.0095,37,IF(I437&gt;=0.009,25,12)))</f>
        <v/>
      </c>
      <c r="N437" s="21">
        <f>IF(L437&gt;=2000,30,IF(L437&gt;=1000,20,IF(L437&gt;=500,10,5)))</f>
        <v/>
      </c>
      <c r="O437" s="21" t="n">
        <v>13</v>
      </c>
      <c r="P437" s="22">
        <f>M437+N437+O437</f>
        <v/>
      </c>
      <c r="Q437" s="16" t="inlineStr">
        <is>
          <t>A11955305</t>
        </is>
      </c>
      <c r="R437" s="16" t="inlineStr"/>
      <c r="S437" s="16" t="inlineStr"/>
    </row>
    <row r="438">
      <c r="A438" s="15">
        <f>HYPERLINK("https://www.google.com/search?q=A11941700+Miami+MLS+listing", "A11941700")</f>
        <v/>
      </c>
      <c r="B438" s="16" t="inlineStr">
        <is>
          <t>990 Phippen Waiters Rd</t>
        </is>
      </c>
      <c r="C438" s="16" t="inlineStr">
        <is>
          <t>33004</t>
        </is>
      </c>
      <c r="D438" s="16" t="inlineStr">
        <is>
          <t>Broward County</t>
        </is>
      </c>
      <c r="E438" s="16" t="inlineStr">
        <is>
          <t>Duplex</t>
        </is>
      </c>
      <c r="F438" s="17" t="n">
        <v>2</v>
      </c>
      <c r="G438" s="18" t="n">
        <v>584900</v>
      </c>
      <c r="H438" s="18" t="n">
        <v>3750</v>
      </c>
      <c r="I438" s="19">
        <f>H438/G438</f>
        <v/>
      </c>
      <c r="J438" s="18">
        <f>H438*(1-Assumptions!$B$4)</f>
        <v/>
      </c>
      <c r="K438" s="20">
        <f>PMT(Assumptions!$B$2/12, 360, -G438*(1-Assumptions!$B$3))</f>
        <v/>
      </c>
      <c r="L438" s="20">
        <f>J438+K438</f>
        <v/>
      </c>
      <c r="M438" s="21">
        <f>IF(I438&gt;=0.01,50,IF(I438&gt;=0.0095,37,IF(I438&gt;=0.009,25,12)))</f>
        <v/>
      </c>
      <c r="N438" s="21">
        <f>IF(L438&gt;=2000,30,IF(L438&gt;=1000,20,IF(L438&gt;=500,10,5)))</f>
        <v/>
      </c>
      <c r="O438" s="21" t="n">
        <v>13</v>
      </c>
      <c r="P438" s="22">
        <f>M438+N438+O438</f>
        <v/>
      </c>
      <c r="Q438" s="16" t="inlineStr">
        <is>
          <t>A11941700</t>
        </is>
      </c>
      <c r="R438" s="16" t="inlineStr"/>
      <c r="S438" s="16" t="inlineStr"/>
    </row>
    <row r="439">
      <c r="A439" s="15">
        <f>HYPERLINK("https://www.google.com/search?q=A11971519+Miami+MLS+listing", "A11971519")</f>
        <v/>
      </c>
      <c r="B439" s="16" t="inlineStr">
        <is>
          <t>770 SW 2nd Ave</t>
        </is>
      </c>
      <c r="C439" s="16" t="inlineStr">
        <is>
          <t>33441</t>
        </is>
      </c>
      <c r="D439" s="16" t="inlineStr">
        <is>
          <t>Broward County</t>
        </is>
      </c>
      <c r="E439" s="16" t="inlineStr">
        <is>
          <t>Duplex</t>
        </is>
      </c>
      <c r="F439" s="17" t="n">
        <v>2</v>
      </c>
      <c r="G439" s="18" t="n">
        <v>529999</v>
      </c>
      <c r="H439" s="18" t="n">
        <v>3700</v>
      </c>
      <c r="I439" s="19">
        <f>H439/G439</f>
        <v/>
      </c>
      <c r="J439" s="18">
        <f>H439*(1-Assumptions!$B$4)</f>
        <v/>
      </c>
      <c r="K439" s="20">
        <f>PMT(Assumptions!$B$2/12, 360, -G439*(1-Assumptions!$B$3))</f>
        <v/>
      </c>
      <c r="L439" s="20">
        <f>J439+K439</f>
        <v/>
      </c>
      <c r="M439" s="21">
        <f>IF(I439&gt;=0.01,50,IF(I439&gt;=0.0095,37,IF(I439&gt;=0.009,25,12)))</f>
        <v/>
      </c>
      <c r="N439" s="21">
        <f>IF(L439&gt;=2000,30,IF(L439&gt;=1000,20,IF(L439&gt;=500,10,5)))</f>
        <v/>
      </c>
      <c r="O439" s="21" t="n">
        <v>13</v>
      </c>
      <c r="P439" s="22">
        <f>M439+N439+O439</f>
        <v/>
      </c>
      <c r="Q439" s="16" t="inlineStr">
        <is>
          <t>A11971519</t>
        </is>
      </c>
      <c r="R439" s="16" t="inlineStr"/>
      <c r="S439" s="16" t="inlineStr"/>
    </row>
    <row r="440">
      <c r="A440" s="15">
        <f>HYPERLINK("https://www.google.com/search?q=A11885873+Miami+MLS+listing", "A11885873")</f>
        <v/>
      </c>
      <c r="B440" s="16" t="inlineStr">
        <is>
          <t>1960 NE 56th St</t>
        </is>
      </c>
      <c r="C440" s="16" t="inlineStr">
        <is>
          <t>33308</t>
        </is>
      </c>
      <c r="D440" s="16" t="inlineStr">
        <is>
          <t>Broward County</t>
        </is>
      </c>
      <c r="E440" s="16" t="inlineStr">
        <is>
          <t>Triplex</t>
        </is>
      </c>
      <c r="F440" s="17" t="n">
        <v>3</v>
      </c>
      <c r="G440" s="18" t="n">
        <v>955000</v>
      </c>
      <c r="H440" s="18" t="n">
        <v>3700</v>
      </c>
      <c r="I440" s="19">
        <f>H440/G440</f>
        <v/>
      </c>
      <c r="J440" s="18">
        <f>H440*(1-Assumptions!$B$4)</f>
        <v/>
      </c>
      <c r="K440" s="20">
        <f>PMT(Assumptions!$B$2/12, 360, -G440*(1-Assumptions!$B$3))</f>
        <v/>
      </c>
      <c r="L440" s="20">
        <f>J440+K440</f>
        <v/>
      </c>
      <c r="M440" s="21">
        <f>IF(I440&gt;=0.01,50,IF(I440&gt;=0.0095,37,IF(I440&gt;=0.009,25,12)))</f>
        <v/>
      </c>
      <c r="N440" s="21">
        <f>IF(L440&gt;=2000,30,IF(L440&gt;=1000,20,IF(L440&gt;=500,10,5)))</f>
        <v/>
      </c>
      <c r="O440" s="21" t="n">
        <v>13</v>
      </c>
      <c r="P440" s="22">
        <f>M440+N440+O440</f>
        <v/>
      </c>
      <c r="Q440" s="16" t="inlineStr">
        <is>
          <t>A11885873</t>
        </is>
      </c>
      <c r="R440" s="16" t="inlineStr"/>
      <c r="S440" s="16" t="inlineStr"/>
    </row>
    <row r="441">
      <c r="A441" s="15">
        <f>HYPERLINK("https://www.google.com/search?q=A11808156+Miami+MLS+listing", "A11808156")</f>
        <v/>
      </c>
      <c r="B441" s="16" t="inlineStr">
        <is>
          <t>1304 NW 6th Ave</t>
        </is>
      </c>
      <c r="C441" s="16" t="inlineStr">
        <is>
          <t>33311</t>
        </is>
      </c>
      <c r="D441" s="16" t="inlineStr">
        <is>
          <t>Broward County</t>
        </is>
      </c>
      <c r="E441" s="16" t="inlineStr">
        <is>
          <t>Duplex</t>
        </is>
      </c>
      <c r="F441" s="17" t="n">
        <v>2</v>
      </c>
      <c r="G441" s="18" t="n">
        <v>515000</v>
      </c>
      <c r="H441" s="18" t="n">
        <v>3700</v>
      </c>
      <c r="I441" s="19">
        <f>H441/G441</f>
        <v/>
      </c>
      <c r="J441" s="18">
        <f>H441*(1-Assumptions!$B$4)</f>
        <v/>
      </c>
      <c r="K441" s="20">
        <f>PMT(Assumptions!$B$2/12, 360, -G441*(1-Assumptions!$B$3))</f>
        <v/>
      </c>
      <c r="L441" s="20">
        <f>J441+K441</f>
        <v/>
      </c>
      <c r="M441" s="21">
        <f>IF(I441&gt;=0.01,50,IF(I441&gt;=0.0095,37,IF(I441&gt;=0.009,25,12)))</f>
        <v/>
      </c>
      <c r="N441" s="21">
        <f>IF(L441&gt;=2000,30,IF(L441&gt;=1000,20,IF(L441&gt;=500,10,5)))</f>
        <v/>
      </c>
      <c r="O441" s="21" t="n">
        <v>13</v>
      </c>
      <c r="P441" s="22">
        <f>M441+N441+O441</f>
        <v/>
      </c>
      <c r="Q441" s="16" t="inlineStr">
        <is>
          <t>A11808156</t>
        </is>
      </c>
      <c r="R441" s="16" t="inlineStr"/>
      <c r="S441" s="16" t="inlineStr"/>
    </row>
    <row r="442">
      <c r="A442" s="15">
        <f>HYPERLINK("https://www.google.com/search?q=A11942688+Miami+MLS+listing", "A11942688")</f>
        <v/>
      </c>
      <c r="B442" s="16" t="inlineStr">
        <is>
          <t>2821 NW 12th Ct</t>
        </is>
      </c>
      <c r="C442" s="16" t="inlineStr">
        <is>
          <t>33311</t>
        </is>
      </c>
      <c r="D442" s="16" t="inlineStr">
        <is>
          <t>Broward County</t>
        </is>
      </c>
      <c r="E442" s="16" t="inlineStr">
        <is>
          <t>Duplex</t>
        </is>
      </c>
      <c r="F442" s="17" t="n">
        <v>2</v>
      </c>
      <c r="G442" s="18" t="n">
        <v>450000</v>
      </c>
      <c r="H442" s="18" t="n">
        <v>3650</v>
      </c>
      <c r="I442" s="19">
        <f>H442/G442</f>
        <v/>
      </c>
      <c r="J442" s="18">
        <f>H442*(1-Assumptions!$B$4)</f>
        <v/>
      </c>
      <c r="K442" s="20">
        <f>PMT(Assumptions!$B$2/12, 360, -G442*(1-Assumptions!$B$3))</f>
        <v/>
      </c>
      <c r="L442" s="20">
        <f>J442+K442</f>
        <v/>
      </c>
      <c r="M442" s="21">
        <f>IF(I442&gt;=0.01,50,IF(I442&gt;=0.0095,37,IF(I442&gt;=0.009,25,12)))</f>
        <v/>
      </c>
      <c r="N442" s="21">
        <f>IF(L442&gt;=2000,30,IF(L442&gt;=1000,20,IF(L442&gt;=500,10,5)))</f>
        <v/>
      </c>
      <c r="O442" s="21" t="n">
        <v>13</v>
      </c>
      <c r="P442" s="22">
        <f>M442+N442+O442</f>
        <v/>
      </c>
      <c r="Q442" s="16" t="inlineStr">
        <is>
          <t>A11942688</t>
        </is>
      </c>
      <c r="R442" s="16" t="inlineStr"/>
      <c r="S442" s="16" t="inlineStr"/>
    </row>
    <row r="443">
      <c r="A443" s="15">
        <f>HYPERLINK("https://www.google.com/search?q=A11869224+Miami+MLS+listing", "A11869224")</f>
        <v/>
      </c>
      <c r="B443" s="16" t="inlineStr">
        <is>
          <t>121 Linda Ln</t>
        </is>
      </c>
      <c r="C443" s="16" t="inlineStr">
        <is>
          <t>33404</t>
        </is>
      </c>
      <c r="D443" s="16" t="inlineStr">
        <is>
          <t>Palm Beach County</t>
        </is>
      </c>
      <c r="E443" s="16" t="inlineStr">
        <is>
          <t>Triplex</t>
        </is>
      </c>
      <c r="F443" s="17" t="n">
        <v>3</v>
      </c>
      <c r="G443" s="18" t="n">
        <v>1970000</v>
      </c>
      <c r="H443" s="18" t="n">
        <v>7000</v>
      </c>
      <c r="I443" s="19">
        <f>H443/G443</f>
        <v/>
      </c>
      <c r="J443" s="18">
        <f>H443*(1-Assumptions!$B$4)</f>
        <v/>
      </c>
      <c r="K443" s="20">
        <f>PMT(Assumptions!$B$2/12, 360, -G443*(1-Assumptions!$B$3))</f>
        <v/>
      </c>
      <c r="L443" s="20">
        <f>J443+K443</f>
        <v/>
      </c>
      <c r="M443" s="21">
        <f>IF(I443&gt;=0.01,50,IF(I443&gt;=0.0095,37,IF(I443&gt;=0.009,25,12)))</f>
        <v/>
      </c>
      <c r="N443" s="21">
        <f>IF(L443&gt;=2000,30,IF(L443&gt;=1000,20,IF(L443&gt;=500,10,5)))</f>
        <v/>
      </c>
      <c r="O443" s="21" t="n">
        <v>13</v>
      </c>
      <c r="P443" s="22">
        <f>M443+N443+O443</f>
        <v/>
      </c>
      <c r="Q443" s="16" t="inlineStr">
        <is>
          <t>A11869224</t>
        </is>
      </c>
      <c r="R443" s="16" t="inlineStr"/>
      <c r="S443" s="16" t="inlineStr"/>
    </row>
    <row r="444">
      <c r="A444" s="15">
        <f>HYPERLINK("https://www.google.com/search?q=A11729035+Miami+MLS+listing", "A11729035")</f>
        <v/>
      </c>
      <c r="B444" s="16" t="inlineStr">
        <is>
          <t>1928 Mckinley St</t>
        </is>
      </c>
      <c r="C444" s="16" t="inlineStr">
        <is>
          <t>33020</t>
        </is>
      </c>
      <c r="D444" s="16" t="inlineStr">
        <is>
          <t>Broward County</t>
        </is>
      </c>
      <c r="E444" s="16" t="inlineStr">
        <is>
          <t>Fourplex</t>
        </is>
      </c>
      <c r="F444" s="17" t="n">
        <v>4</v>
      </c>
      <c r="G444" s="18" t="n">
        <v>1400000</v>
      </c>
      <c r="H444" s="18" t="n">
        <v>9500</v>
      </c>
      <c r="I444" s="19">
        <f>H444/G444</f>
        <v/>
      </c>
      <c r="J444" s="18">
        <f>H444*(1-Assumptions!$B$4)</f>
        <v/>
      </c>
      <c r="K444" s="20">
        <f>PMT(Assumptions!$B$2/12, 360, -G444*(1-Assumptions!$B$3))</f>
        <v/>
      </c>
      <c r="L444" s="20">
        <f>J444+K444</f>
        <v/>
      </c>
      <c r="M444" s="21">
        <f>IF(I444&gt;=0.01,50,IF(I444&gt;=0.0095,37,IF(I444&gt;=0.009,25,12)))</f>
        <v/>
      </c>
      <c r="N444" s="21">
        <f>IF(L444&gt;=2000,30,IF(L444&gt;=1000,20,IF(L444&gt;=500,10,5)))</f>
        <v/>
      </c>
      <c r="O444" s="21" t="n">
        <v>13</v>
      </c>
      <c r="P444" s="22">
        <f>M444+N444+O444</f>
        <v/>
      </c>
      <c r="Q444" s="16" t="inlineStr">
        <is>
          <t>A11729035</t>
        </is>
      </c>
      <c r="R444" s="16" t="inlineStr"/>
      <c r="S444" s="16" t="inlineStr"/>
    </row>
    <row r="445">
      <c r="A445" s="15">
        <f>HYPERLINK("https://www.google.com/search?q=A11728936+Miami+MLS+listing", "A11728936")</f>
        <v/>
      </c>
      <c r="B445" s="16" t="inlineStr">
        <is>
          <t>6101 Garfield St</t>
        </is>
      </c>
      <c r="C445" s="16" t="inlineStr">
        <is>
          <t>33024</t>
        </is>
      </c>
      <c r="D445" s="16" t="inlineStr">
        <is>
          <t>Broward County</t>
        </is>
      </c>
      <c r="E445" s="16" t="inlineStr">
        <is>
          <t>Fourplex</t>
        </is>
      </c>
      <c r="F445" s="17" t="n">
        <v>4</v>
      </c>
      <c r="G445" s="18" t="n">
        <v>1690000</v>
      </c>
      <c r="H445" s="18" t="n">
        <v>8900</v>
      </c>
      <c r="I445" s="19">
        <f>H445/G445</f>
        <v/>
      </c>
      <c r="J445" s="18">
        <f>H445*(1-Assumptions!$B$4)</f>
        <v/>
      </c>
      <c r="K445" s="20">
        <f>PMT(Assumptions!$B$2/12, 360, -G445*(1-Assumptions!$B$3))</f>
        <v/>
      </c>
      <c r="L445" s="20">
        <f>J445+K445</f>
        <v/>
      </c>
      <c r="M445" s="21">
        <f>IF(I445&gt;=0.01,50,IF(I445&gt;=0.0095,37,IF(I445&gt;=0.009,25,12)))</f>
        <v/>
      </c>
      <c r="N445" s="21">
        <f>IF(L445&gt;=2000,30,IF(L445&gt;=1000,20,IF(L445&gt;=500,10,5)))</f>
        <v/>
      </c>
      <c r="O445" s="21" t="n">
        <v>13</v>
      </c>
      <c r="P445" s="22">
        <f>M445+N445+O445</f>
        <v/>
      </c>
      <c r="Q445" s="16" t="inlineStr">
        <is>
          <t>A11728936</t>
        </is>
      </c>
      <c r="R445" s="16" t="inlineStr"/>
      <c r="S445" s="16" t="inlineStr"/>
    </row>
    <row r="446">
      <c r="A446" s="15">
        <f>HYPERLINK("https://www.google.com/search?q=A11975247+Miami+MLS+listing", "A11975247")</f>
        <v/>
      </c>
      <c r="B446" s="16" t="inlineStr">
        <is>
          <t>1625 S Federal Hwy</t>
        </is>
      </c>
      <c r="C446" s="16" t="inlineStr">
        <is>
          <t>33460</t>
        </is>
      </c>
      <c r="D446" s="16" t="inlineStr">
        <is>
          <t>Palm Beach County</t>
        </is>
      </c>
      <c r="E446" s="16" t="inlineStr">
        <is>
          <t>Fourplex</t>
        </is>
      </c>
      <c r="F446" s="17" t="n">
        <v>4</v>
      </c>
      <c r="G446" s="18" t="n">
        <v>945000</v>
      </c>
      <c r="H446" s="18" t="n">
        <v>6050</v>
      </c>
      <c r="I446" s="19">
        <f>H446/G446</f>
        <v/>
      </c>
      <c r="J446" s="18">
        <f>H446*(1-Assumptions!$B$4)</f>
        <v/>
      </c>
      <c r="K446" s="20">
        <f>PMT(Assumptions!$B$2/12, 360, -G446*(1-Assumptions!$B$3))</f>
        <v/>
      </c>
      <c r="L446" s="20">
        <f>J446+K446</f>
        <v/>
      </c>
      <c r="M446" s="21">
        <f>IF(I446&gt;=0.01,50,IF(I446&gt;=0.0095,37,IF(I446&gt;=0.009,25,12)))</f>
        <v/>
      </c>
      <c r="N446" s="21">
        <f>IF(L446&gt;=2000,30,IF(L446&gt;=1000,20,IF(L446&gt;=500,10,5)))</f>
        <v/>
      </c>
      <c r="O446" s="21" t="n">
        <v>13</v>
      </c>
      <c r="P446" s="22">
        <f>M446+N446+O446</f>
        <v/>
      </c>
      <c r="Q446" s="16" t="inlineStr">
        <is>
          <t>A11975247</t>
        </is>
      </c>
      <c r="R446" s="16" t="inlineStr"/>
      <c r="S446" s="16" t="inlineStr"/>
    </row>
    <row r="447">
      <c r="A447" s="15">
        <f>HYPERLINK("https://www.google.com/search?q=A11974108+Miami+MLS+listing", "A11974108")</f>
        <v/>
      </c>
      <c r="B447" s="16" t="inlineStr">
        <is>
          <t>620 SW 10th St</t>
        </is>
      </c>
      <c r="C447" s="16" t="inlineStr">
        <is>
          <t>33315</t>
        </is>
      </c>
      <c r="D447" s="16" t="inlineStr">
        <is>
          <t>Broward County</t>
        </is>
      </c>
      <c r="E447" s="16" t="inlineStr">
        <is>
          <t>Duplex</t>
        </is>
      </c>
      <c r="F447" s="17" t="n">
        <v>2</v>
      </c>
      <c r="G447" s="18" t="n">
        <v>1350000</v>
      </c>
      <c r="H447" s="18" t="n">
        <v>4000</v>
      </c>
      <c r="I447" s="19">
        <f>H447/G447</f>
        <v/>
      </c>
      <c r="J447" s="18">
        <f>H447*(1-Assumptions!$B$4)</f>
        <v/>
      </c>
      <c r="K447" s="20">
        <f>PMT(Assumptions!$B$2/12, 360, -G447*(1-Assumptions!$B$3))</f>
        <v/>
      </c>
      <c r="L447" s="20">
        <f>J447+K447</f>
        <v/>
      </c>
      <c r="M447" s="21">
        <f>IF(I447&gt;=0.01,50,IF(I447&gt;=0.0095,37,IF(I447&gt;=0.009,25,12)))</f>
        <v/>
      </c>
      <c r="N447" s="21">
        <f>IF(L447&gt;=2000,30,IF(L447&gt;=1000,20,IF(L447&gt;=500,10,5)))</f>
        <v/>
      </c>
      <c r="O447" s="21" t="n">
        <v>13</v>
      </c>
      <c r="P447" s="22">
        <f>M447+N447+O447</f>
        <v/>
      </c>
      <c r="Q447" s="16" t="inlineStr">
        <is>
          <t>A11974108</t>
        </is>
      </c>
      <c r="R447" s="16" t="inlineStr"/>
      <c r="S447" s="16" t="inlineStr"/>
    </row>
    <row r="448">
      <c r="A448" s="15">
        <f>HYPERLINK("https://www.google.com/search?q=A11914384+Miami+MLS+listing", "A11914384")</f>
        <v/>
      </c>
      <c r="B448" s="16" t="inlineStr">
        <is>
          <t>6351 Hayes St</t>
        </is>
      </c>
      <c r="C448" s="16" t="inlineStr">
        <is>
          <t>33024</t>
        </is>
      </c>
      <c r="D448" s="16" t="inlineStr">
        <is>
          <t>Broward County</t>
        </is>
      </c>
      <c r="E448" s="16" t="inlineStr">
        <is>
          <t>Duplex</t>
        </is>
      </c>
      <c r="F448" s="17" t="n">
        <v>2</v>
      </c>
      <c r="G448" s="18" t="n">
        <v>540000</v>
      </c>
      <c r="H448" s="18" t="n">
        <v>4000</v>
      </c>
      <c r="I448" s="19">
        <f>H448/G448</f>
        <v/>
      </c>
      <c r="J448" s="18">
        <f>H448*(1-Assumptions!$B$4)</f>
        <v/>
      </c>
      <c r="K448" s="20">
        <f>PMT(Assumptions!$B$2/12, 360, -G448*(1-Assumptions!$B$3))</f>
        <v/>
      </c>
      <c r="L448" s="20">
        <f>J448+K448</f>
        <v/>
      </c>
      <c r="M448" s="21">
        <f>IF(I448&gt;=0.01,50,IF(I448&gt;=0.0095,37,IF(I448&gt;=0.009,25,12)))</f>
        <v/>
      </c>
      <c r="N448" s="21">
        <f>IF(L448&gt;=2000,30,IF(L448&gt;=1000,20,IF(L448&gt;=500,10,5)))</f>
        <v/>
      </c>
      <c r="O448" s="21" t="n">
        <v>13</v>
      </c>
      <c r="P448" s="22">
        <f>M448+N448+O448</f>
        <v/>
      </c>
      <c r="Q448" s="16" t="inlineStr">
        <is>
          <t>A11914384</t>
        </is>
      </c>
      <c r="R448" s="16" t="inlineStr"/>
      <c r="S448" s="16" t="inlineStr"/>
    </row>
    <row r="449">
      <c r="A449" s="15">
        <f>HYPERLINK("https://www.google.com/search?q=A11962179+Miami+MLS+listing", "A11962179")</f>
        <v/>
      </c>
      <c r="B449" s="16" t="inlineStr">
        <is>
          <t>25 NE 12th St</t>
        </is>
      </c>
      <c r="C449" s="16" t="inlineStr">
        <is>
          <t>33304</t>
        </is>
      </c>
      <c r="D449" s="16" t="inlineStr">
        <is>
          <t>Broward County</t>
        </is>
      </c>
      <c r="E449" s="16" t="inlineStr">
        <is>
          <t>Duplex</t>
        </is>
      </c>
      <c r="F449" s="17" t="n">
        <v>2</v>
      </c>
      <c r="G449" s="18" t="n">
        <v>899000</v>
      </c>
      <c r="H449" s="18" t="n">
        <v>4400</v>
      </c>
      <c r="I449" s="19">
        <f>H449/G449</f>
        <v/>
      </c>
      <c r="J449" s="18">
        <f>H449*(1-Assumptions!$B$4)</f>
        <v/>
      </c>
      <c r="K449" s="20">
        <f>PMT(Assumptions!$B$2/12, 360, -G449*(1-Assumptions!$B$3))</f>
        <v/>
      </c>
      <c r="L449" s="20">
        <f>J449+K449</f>
        <v/>
      </c>
      <c r="M449" s="21">
        <f>IF(I449&gt;=0.01,50,IF(I449&gt;=0.0095,37,IF(I449&gt;=0.009,25,12)))</f>
        <v/>
      </c>
      <c r="N449" s="21">
        <f>IF(L449&gt;=2000,30,IF(L449&gt;=1000,20,IF(L449&gt;=500,10,5)))</f>
        <v/>
      </c>
      <c r="O449" s="21" t="n">
        <v>13</v>
      </c>
      <c r="P449" s="22">
        <f>M449+N449+O449</f>
        <v/>
      </c>
      <c r="Q449" s="16" t="inlineStr">
        <is>
          <t>A11962179</t>
        </is>
      </c>
      <c r="R449" s="16" t="inlineStr"/>
      <c r="S449" s="16" t="inlineStr"/>
    </row>
    <row r="450">
      <c r="A450" s="15">
        <f>HYPERLINK("https://www.google.com/search?q=A11881706+Miami+MLS+listing", "A11881706")</f>
        <v/>
      </c>
      <c r="B450" s="16" t="inlineStr">
        <is>
          <t>3380 NW 8th Pl</t>
        </is>
      </c>
      <c r="C450" s="16" t="inlineStr">
        <is>
          <t>33311</t>
        </is>
      </c>
      <c r="D450" s="16" t="inlineStr">
        <is>
          <t>Broward County</t>
        </is>
      </c>
      <c r="E450" s="16" t="inlineStr">
        <is>
          <t>Triplex</t>
        </is>
      </c>
      <c r="F450" s="17" t="n">
        <v>3</v>
      </c>
      <c r="G450" s="18" t="n">
        <v>599000</v>
      </c>
      <c r="H450" s="18" t="n">
        <v>4400</v>
      </c>
      <c r="I450" s="19">
        <f>H450/G450</f>
        <v/>
      </c>
      <c r="J450" s="18">
        <f>H450*(1-Assumptions!$B$4)</f>
        <v/>
      </c>
      <c r="K450" s="20">
        <f>PMT(Assumptions!$B$2/12, 360, -G450*(1-Assumptions!$B$3))</f>
        <v/>
      </c>
      <c r="L450" s="20">
        <f>J450+K450</f>
        <v/>
      </c>
      <c r="M450" s="21">
        <f>IF(I450&gt;=0.01,50,IF(I450&gt;=0.0095,37,IF(I450&gt;=0.009,25,12)))</f>
        <v/>
      </c>
      <c r="N450" s="21">
        <f>IF(L450&gt;=2000,30,IF(L450&gt;=1000,20,IF(L450&gt;=500,10,5)))</f>
        <v/>
      </c>
      <c r="O450" s="21" t="n">
        <v>13</v>
      </c>
      <c r="P450" s="22">
        <f>M450+N450+O450</f>
        <v/>
      </c>
      <c r="Q450" s="16" t="inlineStr">
        <is>
          <t>A11881706</t>
        </is>
      </c>
      <c r="R450" s="16" t="inlineStr"/>
      <c r="S450" s="16" t="inlineStr"/>
    </row>
    <row r="451">
      <c r="A451" s="15">
        <f>HYPERLINK("https://www.google.com/search?q=A11976968+Miami+MLS+listing", "A11976968")</f>
        <v/>
      </c>
      <c r="B451" s="16" t="inlineStr">
        <is>
          <t>2411 Thomas St</t>
        </is>
      </c>
      <c r="C451" s="16" t="inlineStr">
        <is>
          <t>33020</t>
        </is>
      </c>
      <c r="D451" s="16" t="inlineStr">
        <is>
          <t>Broward County</t>
        </is>
      </c>
      <c r="E451" s="16" t="inlineStr">
        <is>
          <t>Duplex</t>
        </is>
      </c>
      <c r="F451" s="17" t="n">
        <v>2</v>
      </c>
      <c r="G451" s="18" t="n">
        <v>760000</v>
      </c>
      <c r="H451" s="18" t="n">
        <v>4400</v>
      </c>
      <c r="I451" s="19">
        <f>H451/G451</f>
        <v/>
      </c>
      <c r="J451" s="18">
        <f>H451*(1-Assumptions!$B$4)</f>
        <v/>
      </c>
      <c r="K451" s="20">
        <f>PMT(Assumptions!$B$2/12, 360, -G451*(1-Assumptions!$B$3))</f>
        <v/>
      </c>
      <c r="L451" s="20">
        <f>J451+K451</f>
        <v/>
      </c>
      <c r="M451" s="21">
        <f>IF(I451&gt;=0.01,50,IF(I451&gt;=0.0095,37,IF(I451&gt;=0.009,25,12)))</f>
        <v/>
      </c>
      <c r="N451" s="21">
        <f>IF(L451&gt;=2000,30,IF(L451&gt;=1000,20,IF(L451&gt;=500,10,5)))</f>
        <v/>
      </c>
      <c r="O451" s="21" t="n">
        <v>13</v>
      </c>
      <c r="P451" s="22">
        <f>M451+N451+O451</f>
        <v/>
      </c>
      <c r="Q451" s="16" t="inlineStr">
        <is>
          <t>A11976968</t>
        </is>
      </c>
      <c r="R451" s="16" t="inlineStr"/>
      <c r="S451" s="16" t="inlineStr"/>
    </row>
    <row r="452">
      <c r="A452" s="15">
        <f>HYPERLINK("https://www.google.com/search?q=A11901871+Miami+MLS+listing", "A11901871")</f>
        <v/>
      </c>
      <c r="B452" s="16" t="inlineStr">
        <is>
          <t>8706 NW 38th Dr</t>
        </is>
      </c>
      <c r="C452" s="16" t="inlineStr">
        <is>
          <t>33065</t>
        </is>
      </c>
      <c r="D452" s="16" t="inlineStr">
        <is>
          <t>Broward County</t>
        </is>
      </c>
      <c r="E452" s="16" t="inlineStr">
        <is>
          <t>Fourplex</t>
        </is>
      </c>
      <c r="F452" s="17" t="n">
        <v>4</v>
      </c>
      <c r="G452" s="18" t="n">
        <v>2000000</v>
      </c>
      <c r="H452" s="18" t="n">
        <v>8500</v>
      </c>
      <c r="I452" s="19">
        <f>H452/G452</f>
        <v/>
      </c>
      <c r="J452" s="18">
        <f>H452*(1-Assumptions!$B$4)</f>
        <v/>
      </c>
      <c r="K452" s="20">
        <f>PMT(Assumptions!$B$2/12, 360, -G452*(1-Assumptions!$B$3))</f>
        <v/>
      </c>
      <c r="L452" s="20">
        <f>J452+K452</f>
        <v/>
      </c>
      <c r="M452" s="21">
        <f>IF(I452&gt;=0.01,50,IF(I452&gt;=0.0095,37,IF(I452&gt;=0.009,25,12)))</f>
        <v/>
      </c>
      <c r="N452" s="21">
        <f>IF(L452&gt;=2000,30,IF(L452&gt;=1000,20,IF(L452&gt;=500,10,5)))</f>
        <v/>
      </c>
      <c r="O452" s="21" t="n">
        <v>13</v>
      </c>
      <c r="P452" s="22">
        <f>M452+N452+O452</f>
        <v/>
      </c>
      <c r="Q452" s="16" t="inlineStr">
        <is>
          <t>A11901871</t>
        </is>
      </c>
      <c r="R452" s="16" t="inlineStr"/>
      <c r="S452" s="16" t="inlineStr"/>
    </row>
    <row r="453">
      <c r="A453" s="15">
        <f>HYPERLINK("https://www.google.com/search?q=A11951126+Miami+MLS+listing", "A11951126")</f>
        <v/>
      </c>
      <c r="B453" s="16" t="inlineStr">
        <is>
          <t>1344 NW 7th Ter</t>
        </is>
      </c>
      <c r="C453" s="16" t="inlineStr">
        <is>
          <t>33311</t>
        </is>
      </c>
      <c r="D453" s="16" t="inlineStr">
        <is>
          <t>Broward County</t>
        </is>
      </c>
      <c r="E453" s="16" t="inlineStr">
        <is>
          <t>Duplex</t>
        </is>
      </c>
      <c r="F453" s="17" t="n">
        <v>2</v>
      </c>
      <c r="G453" s="18" t="n">
        <v>550000</v>
      </c>
      <c r="H453" s="18" t="n">
        <v>4350</v>
      </c>
      <c r="I453" s="19">
        <f>H453/G453</f>
        <v/>
      </c>
      <c r="J453" s="18">
        <f>H453*(1-Assumptions!$B$4)</f>
        <v/>
      </c>
      <c r="K453" s="20">
        <f>PMT(Assumptions!$B$2/12, 360, -G453*(1-Assumptions!$B$3))</f>
        <v/>
      </c>
      <c r="L453" s="20">
        <f>J453+K453</f>
        <v/>
      </c>
      <c r="M453" s="21">
        <f>IF(I453&gt;=0.01,50,IF(I453&gt;=0.0095,37,IF(I453&gt;=0.009,25,12)))</f>
        <v/>
      </c>
      <c r="N453" s="21">
        <f>IF(L453&gt;=2000,30,IF(L453&gt;=1000,20,IF(L453&gt;=500,10,5)))</f>
        <v/>
      </c>
      <c r="O453" s="21" t="n">
        <v>13</v>
      </c>
      <c r="P453" s="22">
        <f>M453+N453+O453</f>
        <v/>
      </c>
      <c r="Q453" s="16" t="inlineStr">
        <is>
          <t>A11951126</t>
        </is>
      </c>
      <c r="R453" s="16" t="inlineStr"/>
      <c r="S453" s="16" t="inlineStr"/>
    </row>
    <row r="454">
      <c r="A454" s="15">
        <f>HYPERLINK("https://www.google.com/search?q=A11863875+Miami+MLS+listing", "A11863875")</f>
        <v/>
      </c>
      <c r="B454" s="16" t="inlineStr">
        <is>
          <t>1480 NW 20th Ct</t>
        </is>
      </c>
      <c r="C454" s="16" t="inlineStr">
        <is>
          <t>33311</t>
        </is>
      </c>
      <c r="D454" s="16" t="inlineStr">
        <is>
          <t>Broward County</t>
        </is>
      </c>
      <c r="E454" s="16" t="inlineStr">
        <is>
          <t>Fourplex</t>
        </is>
      </c>
      <c r="F454" s="17" t="n">
        <v>4</v>
      </c>
      <c r="G454" s="18" t="n">
        <v>899000</v>
      </c>
      <c r="H454" s="18" t="n">
        <v>5950</v>
      </c>
      <c r="I454" s="19">
        <f>H454/G454</f>
        <v/>
      </c>
      <c r="J454" s="18">
        <f>H454*(1-Assumptions!$B$4)</f>
        <v/>
      </c>
      <c r="K454" s="20">
        <f>PMT(Assumptions!$B$2/12, 360, -G454*(1-Assumptions!$B$3))</f>
        <v/>
      </c>
      <c r="L454" s="20">
        <f>J454+K454</f>
        <v/>
      </c>
      <c r="M454" s="21">
        <f>IF(I454&gt;=0.01,50,IF(I454&gt;=0.0095,37,IF(I454&gt;=0.009,25,12)))</f>
        <v/>
      </c>
      <c r="N454" s="21">
        <f>IF(L454&gt;=2000,30,IF(L454&gt;=1000,20,IF(L454&gt;=500,10,5)))</f>
        <v/>
      </c>
      <c r="O454" s="21" t="n">
        <v>13</v>
      </c>
      <c r="P454" s="22">
        <f>M454+N454+O454</f>
        <v/>
      </c>
      <c r="Q454" s="16" t="inlineStr">
        <is>
          <t>A11863875</t>
        </is>
      </c>
      <c r="R454" s="16" t="inlineStr"/>
      <c r="S454" s="16" t="inlineStr"/>
    </row>
    <row r="455">
      <c r="A455" s="15">
        <f>HYPERLINK("https://www.google.com/search?q=A11940656+Miami+MLS+listing", "A11940656")</f>
        <v/>
      </c>
      <c r="B455" s="16" t="inlineStr">
        <is>
          <t>4030 SW 19th St</t>
        </is>
      </c>
      <c r="C455" s="16" t="inlineStr">
        <is>
          <t>33023</t>
        </is>
      </c>
      <c r="D455" s="16" t="inlineStr">
        <is>
          <t>Broward County</t>
        </is>
      </c>
      <c r="E455" s="16" t="inlineStr">
        <is>
          <t>Triplex</t>
        </is>
      </c>
      <c r="F455" s="17" t="n">
        <v>3</v>
      </c>
      <c r="G455" s="18" t="n">
        <v>700000</v>
      </c>
      <c r="H455" s="18" t="n">
        <v>5950</v>
      </c>
      <c r="I455" s="19">
        <f>H455/G455</f>
        <v/>
      </c>
      <c r="J455" s="18">
        <f>H455*(1-Assumptions!$B$4)</f>
        <v/>
      </c>
      <c r="K455" s="20">
        <f>PMT(Assumptions!$B$2/12, 360, -G455*(1-Assumptions!$B$3))</f>
        <v/>
      </c>
      <c r="L455" s="20">
        <f>J455+K455</f>
        <v/>
      </c>
      <c r="M455" s="21">
        <f>IF(I455&gt;=0.01,50,IF(I455&gt;=0.0095,37,IF(I455&gt;=0.009,25,12)))</f>
        <v/>
      </c>
      <c r="N455" s="21">
        <f>IF(L455&gt;=2000,30,IF(L455&gt;=1000,20,IF(L455&gt;=500,10,5)))</f>
        <v/>
      </c>
      <c r="O455" s="21" t="n">
        <v>13</v>
      </c>
      <c r="P455" s="22">
        <f>M455+N455+O455</f>
        <v/>
      </c>
      <c r="Q455" s="16" t="inlineStr">
        <is>
          <t>A11940656</t>
        </is>
      </c>
      <c r="R455" s="16" t="inlineStr"/>
      <c r="S455" s="16" t="inlineStr"/>
    </row>
    <row r="456">
      <c r="A456" s="15">
        <f>HYPERLINK("https://www.google.com/search?q=A11940502+Miami+MLS+listing", "A11940502")</f>
        <v/>
      </c>
      <c r="B456" s="16" t="inlineStr">
        <is>
          <t>5904 SW 27th St</t>
        </is>
      </c>
      <c r="C456" s="16" t="inlineStr">
        <is>
          <t>33023</t>
        </is>
      </c>
      <c r="D456" s="16" t="inlineStr">
        <is>
          <t>Broward County</t>
        </is>
      </c>
      <c r="E456" s="16" t="inlineStr">
        <is>
          <t>Duplex</t>
        </is>
      </c>
      <c r="F456" s="17" t="n">
        <v>2</v>
      </c>
      <c r="G456" s="18" t="n">
        <v>607900</v>
      </c>
      <c r="H456" s="18" t="n">
        <v>4300</v>
      </c>
      <c r="I456" s="19">
        <f>H456/G456</f>
        <v/>
      </c>
      <c r="J456" s="18">
        <f>H456*(1-Assumptions!$B$4)</f>
        <v/>
      </c>
      <c r="K456" s="20">
        <f>PMT(Assumptions!$B$2/12, 360, -G456*(1-Assumptions!$B$3))</f>
        <v/>
      </c>
      <c r="L456" s="20">
        <f>J456+K456</f>
        <v/>
      </c>
      <c r="M456" s="21">
        <f>IF(I456&gt;=0.01,50,IF(I456&gt;=0.0095,37,IF(I456&gt;=0.009,25,12)))</f>
        <v/>
      </c>
      <c r="N456" s="21">
        <f>IF(L456&gt;=2000,30,IF(L456&gt;=1000,20,IF(L456&gt;=500,10,5)))</f>
        <v/>
      </c>
      <c r="O456" s="21" t="n">
        <v>13</v>
      </c>
      <c r="P456" s="22">
        <f>M456+N456+O456</f>
        <v/>
      </c>
      <c r="Q456" s="16" t="inlineStr">
        <is>
          <t>A11940502</t>
        </is>
      </c>
      <c r="R456" s="16" t="inlineStr"/>
      <c r="S456" s="16" t="inlineStr"/>
    </row>
    <row r="457">
      <c r="A457" s="15">
        <f>HYPERLINK("https://www.google.com/search?q=A11967949+Miami+MLS+listing", "A11967949")</f>
        <v/>
      </c>
      <c r="B457" s="16" t="inlineStr">
        <is>
          <t>1604 SW 44th Ave</t>
        </is>
      </c>
      <c r="C457" s="16" t="inlineStr">
        <is>
          <t>33317</t>
        </is>
      </c>
      <c r="D457" s="16" t="inlineStr">
        <is>
          <t>Broward County</t>
        </is>
      </c>
      <c r="E457" s="16" t="inlineStr">
        <is>
          <t>Duplex</t>
        </is>
      </c>
      <c r="F457" s="17" t="n">
        <v>2</v>
      </c>
      <c r="G457" s="18" t="n">
        <v>725000</v>
      </c>
      <c r="H457" s="18" t="n">
        <v>4300</v>
      </c>
      <c r="I457" s="19">
        <f>H457/G457</f>
        <v/>
      </c>
      <c r="J457" s="18">
        <f>H457*(1-Assumptions!$B$4)</f>
        <v/>
      </c>
      <c r="K457" s="20">
        <f>PMT(Assumptions!$B$2/12, 360, -G457*(1-Assumptions!$B$3))</f>
        <v/>
      </c>
      <c r="L457" s="20">
        <f>J457+K457</f>
        <v/>
      </c>
      <c r="M457" s="21">
        <f>IF(I457&gt;=0.01,50,IF(I457&gt;=0.0095,37,IF(I457&gt;=0.009,25,12)))</f>
        <v/>
      </c>
      <c r="N457" s="21">
        <f>IF(L457&gt;=2000,30,IF(L457&gt;=1000,20,IF(L457&gt;=500,10,5)))</f>
        <v/>
      </c>
      <c r="O457" s="21" t="n">
        <v>13</v>
      </c>
      <c r="P457" s="22">
        <f>M457+N457+O457</f>
        <v/>
      </c>
      <c r="Q457" s="16" t="inlineStr">
        <is>
          <t>A11967949</t>
        </is>
      </c>
      <c r="R457" s="16" t="inlineStr"/>
      <c r="S457" s="16" t="inlineStr"/>
    </row>
    <row r="458">
      <c r="A458" s="15">
        <f>HYPERLINK("https://www.google.com/search?q=A11936912+Miami+MLS+listing", "A11936912")</f>
        <v/>
      </c>
      <c r="B458" s="16" t="inlineStr">
        <is>
          <t>509 SE 19th St</t>
        </is>
      </c>
      <c r="C458" s="16" t="inlineStr">
        <is>
          <t>33316</t>
        </is>
      </c>
      <c r="D458" s="16" t="inlineStr">
        <is>
          <t>Broward County</t>
        </is>
      </c>
      <c r="E458" s="16" t="inlineStr">
        <is>
          <t>Triplex</t>
        </is>
      </c>
      <c r="F458" s="17" t="n">
        <v>3</v>
      </c>
      <c r="G458" s="18" t="n">
        <v>999000</v>
      </c>
      <c r="H458" s="18" t="n">
        <v>8550</v>
      </c>
      <c r="I458" s="19">
        <f>H458/G458</f>
        <v/>
      </c>
      <c r="J458" s="18">
        <f>H458*(1-Assumptions!$B$4)</f>
        <v/>
      </c>
      <c r="K458" s="20">
        <f>PMT(Assumptions!$B$2/12, 360, -G458*(1-Assumptions!$B$3))</f>
        <v/>
      </c>
      <c r="L458" s="20">
        <f>J458+K458</f>
        <v/>
      </c>
      <c r="M458" s="21">
        <f>IF(I458&gt;=0.01,50,IF(I458&gt;=0.0095,37,IF(I458&gt;=0.009,25,12)))</f>
        <v/>
      </c>
      <c r="N458" s="21">
        <f>IF(L458&gt;=2000,30,IF(L458&gt;=1000,20,IF(L458&gt;=500,10,5)))</f>
        <v/>
      </c>
      <c r="O458" s="21" t="n">
        <v>13</v>
      </c>
      <c r="P458" s="22">
        <f>M458+N458+O458</f>
        <v/>
      </c>
      <c r="Q458" s="16" t="inlineStr">
        <is>
          <t>A11936912</t>
        </is>
      </c>
      <c r="R458" s="16" t="inlineStr"/>
      <c r="S458" s="16" t="inlineStr"/>
    </row>
    <row r="459">
      <c r="A459" s="15">
        <f>HYPERLINK("https://www.google.com/search?q=A11931246+Miami+MLS+listing", "A11931246")</f>
        <v/>
      </c>
      <c r="B459" s="16" t="inlineStr">
        <is>
          <t>5666 Mayo St</t>
        </is>
      </c>
      <c r="C459" s="16" t="inlineStr">
        <is>
          <t>33023</t>
        </is>
      </c>
      <c r="D459" s="16" t="inlineStr">
        <is>
          <t>Broward County</t>
        </is>
      </c>
      <c r="E459" s="16" t="inlineStr">
        <is>
          <t>Triplex</t>
        </is>
      </c>
      <c r="F459" s="17" t="n">
        <v>3</v>
      </c>
      <c r="G459" s="18" t="n">
        <v>800000</v>
      </c>
      <c r="H459" s="18" t="n">
        <v>6000</v>
      </c>
      <c r="I459" s="19">
        <f>H459/G459</f>
        <v/>
      </c>
      <c r="J459" s="18">
        <f>H459*(1-Assumptions!$B$4)</f>
        <v/>
      </c>
      <c r="K459" s="20">
        <f>PMT(Assumptions!$B$2/12, 360, -G459*(1-Assumptions!$B$3))</f>
        <v/>
      </c>
      <c r="L459" s="20">
        <f>J459+K459</f>
        <v/>
      </c>
      <c r="M459" s="21">
        <f>IF(I459&gt;=0.01,50,IF(I459&gt;=0.0095,37,IF(I459&gt;=0.009,25,12)))</f>
        <v/>
      </c>
      <c r="N459" s="21">
        <f>IF(L459&gt;=2000,30,IF(L459&gt;=1000,20,IF(L459&gt;=500,10,5)))</f>
        <v/>
      </c>
      <c r="O459" s="21" t="n">
        <v>13</v>
      </c>
      <c r="P459" s="22">
        <f>M459+N459+O459</f>
        <v/>
      </c>
      <c r="Q459" s="16" t="inlineStr">
        <is>
          <t>A11931246</t>
        </is>
      </c>
      <c r="R459" s="16" t="inlineStr"/>
      <c r="S459" s="16" t="inlineStr"/>
    </row>
    <row r="460">
      <c r="A460" s="15">
        <f>HYPERLINK("https://www.google.com/search?q=A11915976+Miami+MLS+listing", "A11915976")</f>
        <v/>
      </c>
      <c r="B460" s="16" t="inlineStr">
        <is>
          <t>1132 NW 2nd St</t>
        </is>
      </c>
      <c r="C460" s="16" t="inlineStr">
        <is>
          <t>33311</t>
        </is>
      </c>
      <c r="D460" s="16" t="inlineStr">
        <is>
          <t>Broward County</t>
        </is>
      </c>
      <c r="E460" s="16" t="inlineStr">
        <is>
          <t>Fourplex</t>
        </is>
      </c>
      <c r="F460" s="17" t="n">
        <v>4</v>
      </c>
      <c r="G460" s="18" t="n">
        <v>849000</v>
      </c>
      <c r="H460" s="18" t="n">
        <v>6000</v>
      </c>
      <c r="I460" s="19">
        <f>H460/G460</f>
        <v/>
      </c>
      <c r="J460" s="18">
        <f>H460*(1-Assumptions!$B$4)</f>
        <v/>
      </c>
      <c r="K460" s="20">
        <f>PMT(Assumptions!$B$2/12, 360, -G460*(1-Assumptions!$B$3))</f>
        <v/>
      </c>
      <c r="L460" s="20">
        <f>J460+K460</f>
        <v/>
      </c>
      <c r="M460" s="21">
        <f>IF(I460&gt;=0.01,50,IF(I460&gt;=0.0095,37,IF(I460&gt;=0.009,25,12)))</f>
        <v/>
      </c>
      <c r="N460" s="21">
        <f>IF(L460&gt;=2000,30,IF(L460&gt;=1000,20,IF(L460&gt;=500,10,5)))</f>
        <v/>
      </c>
      <c r="O460" s="21" t="n">
        <v>13</v>
      </c>
      <c r="P460" s="22">
        <f>M460+N460+O460</f>
        <v/>
      </c>
      <c r="Q460" s="16" t="inlineStr">
        <is>
          <t>A11915976</t>
        </is>
      </c>
      <c r="R460" s="16" t="inlineStr"/>
      <c r="S460" s="16" t="inlineStr"/>
    </row>
    <row r="461">
      <c r="A461" s="15">
        <f>HYPERLINK("https://www.google.com/search?q=A11778913+Miami+MLS+listing", "A11778913")</f>
        <v/>
      </c>
      <c r="B461" s="16" t="inlineStr">
        <is>
          <t>4101 NW 30th Ter</t>
        </is>
      </c>
      <c r="C461" s="16" t="inlineStr">
        <is>
          <t>33309</t>
        </is>
      </c>
      <c r="D461" s="16" t="inlineStr">
        <is>
          <t>Broward County</t>
        </is>
      </c>
      <c r="E461" s="16" t="inlineStr">
        <is>
          <t>Fourplex</t>
        </is>
      </c>
      <c r="F461" s="17" t="n">
        <v>4</v>
      </c>
      <c r="G461" s="18" t="n">
        <v>1300000</v>
      </c>
      <c r="H461" s="18" t="n">
        <v>8700</v>
      </c>
      <c r="I461" s="19">
        <f>H461/G461</f>
        <v/>
      </c>
      <c r="J461" s="18">
        <f>H461*(1-Assumptions!$B$4)</f>
        <v/>
      </c>
      <c r="K461" s="20">
        <f>PMT(Assumptions!$B$2/12, 360, -G461*(1-Assumptions!$B$3))</f>
        <v/>
      </c>
      <c r="L461" s="20">
        <f>J461+K461</f>
        <v/>
      </c>
      <c r="M461" s="21">
        <f>IF(I461&gt;=0.01,50,IF(I461&gt;=0.0095,37,IF(I461&gt;=0.009,25,12)))</f>
        <v/>
      </c>
      <c r="N461" s="21">
        <f>IF(L461&gt;=2000,30,IF(L461&gt;=1000,20,IF(L461&gt;=500,10,5)))</f>
        <v/>
      </c>
      <c r="O461" s="21" t="n">
        <v>13</v>
      </c>
      <c r="P461" s="22">
        <f>M461+N461+O461</f>
        <v/>
      </c>
      <c r="Q461" s="16" t="inlineStr">
        <is>
          <t>A11778913</t>
        </is>
      </c>
      <c r="R461" s="16" t="inlineStr"/>
      <c r="S461" s="16" t="inlineStr"/>
    </row>
    <row r="462">
      <c r="A462" s="15">
        <f>HYPERLINK("https://www.google.com/search?q=A11764652+Miami+MLS+listing", "A11764652")</f>
        <v/>
      </c>
      <c r="B462" s="16" t="inlineStr">
        <is>
          <t>1259 NW 29th Ave</t>
        </is>
      </c>
      <c r="C462" s="16" t="inlineStr">
        <is>
          <t>33311</t>
        </is>
      </c>
      <c r="D462" s="16" t="inlineStr">
        <is>
          <t>Broward County</t>
        </is>
      </c>
      <c r="E462" s="16" t="inlineStr">
        <is>
          <t>Duplex</t>
        </is>
      </c>
      <c r="F462" s="17" t="n">
        <v>2</v>
      </c>
      <c r="G462" s="18" t="n">
        <v>499000</v>
      </c>
      <c r="H462" s="18" t="n">
        <v>4150</v>
      </c>
      <c r="I462" s="19">
        <f>H462/G462</f>
        <v/>
      </c>
      <c r="J462" s="18">
        <f>H462*(1-Assumptions!$B$4)</f>
        <v/>
      </c>
      <c r="K462" s="20">
        <f>PMT(Assumptions!$B$2/12, 360, -G462*(1-Assumptions!$B$3))</f>
        <v/>
      </c>
      <c r="L462" s="20">
        <f>J462+K462</f>
        <v/>
      </c>
      <c r="M462" s="21">
        <f>IF(I462&gt;=0.01,50,IF(I462&gt;=0.0095,37,IF(I462&gt;=0.009,25,12)))</f>
        <v/>
      </c>
      <c r="N462" s="21">
        <f>IF(L462&gt;=2000,30,IF(L462&gt;=1000,20,IF(L462&gt;=500,10,5)))</f>
        <v/>
      </c>
      <c r="O462" s="21" t="n">
        <v>13</v>
      </c>
      <c r="P462" s="22">
        <f>M462+N462+O462</f>
        <v/>
      </c>
      <c r="Q462" s="16" t="inlineStr">
        <is>
          <t>A11764652</t>
        </is>
      </c>
      <c r="R462" s="16" t="inlineStr"/>
      <c r="S462" s="16" t="inlineStr"/>
    </row>
    <row r="463">
      <c r="A463" s="15">
        <f>HYPERLINK("https://www.google.com/search?q=A11868983+Miami+MLS+listing", "A11868983")</f>
        <v/>
      </c>
      <c r="B463" s="16" t="inlineStr">
        <is>
          <t>310 SW 10th Ter</t>
        </is>
      </c>
      <c r="C463" s="16" t="inlineStr">
        <is>
          <t>33009</t>
        </is>
      </c>
      <c r="D463" s="16" t="inlineStr">
        <is>
          <t>Broward County</t>
        </is>
      </c>
      <c r="E463" s="16" t="inlineStr">
        <is>
          <t>Duplex</t>
        </is>
      </c>
      <c r="F463" s="17" t="n">
        <v>2</v>
      </c>
      <c r="G463" s="18" t="n">
        <v>660000</v>
      </c>
      <c r="H463" s="18" t="n">
        <v>4100</v>
      </c>
      <c r="I463" s="19">
        <f>H463/G463</f>
        <v/>
      </c>
      <c r="J463" s="18">
        <f>H463*(1-Assumptions!$B$4)</f>
        <v/>
      </c>
      <c r="K463" s="20">
        <f>PMT(Assumptions!$B$2/12, 360, -G463*(1-Assumptions!$B$3))</f>
        <v/>
      </c>
      <c r="L463" s="20">
        <f>J463+K463</f>
        <v/>
      </c>
      <c r="M463" s="21">
        <f>IF(I463&gt;=0.01,50,IF(I463&gt;=0.0095,37,IF(I463&gt;=0.009,25,12)))</f>
        <v/>
      </c>
      <c r="N463" s="21">
        <f>IF(L463&gt;=2000,30,IF(L463&gt;=1000,20,IF(L463&gt;=500,10,5)))</f>
        <v/>
      </c>
      <c r="O463" s="21" t="n">
        <v>13</v>
      </c>
      <c r="P463" s="22">
        <f>M463+N463+O463</f>
        <v/>
      </c>
      <c r="Q463" s="16" t="inlineStr">
        <is>
          <t>A11868983</t>
        </is>
      </c>
      <c r="R463" s="16" t="inlineStr"/>
      <c r="S463" s="16" t="inlineStr"/>
    </row>
    <row r="464">
      <c r="A464" s="15">
        <f>HYPERLINK("https://www.google.com/search?q=A11956640+Miami+MLS+listing", "A11956640")</f>
        <v/>
      </c>
      <c r="B464" s="16" t="inlineStr">
        <is>
          <t>1013 NW 1st Ave</t>
        </is>
      </c>
      <c r="C464" s="16" t="inlineStr">
        <is>
          <t>33009</t>
        </is>
      </c>
      <c r="D464" s="16" t="inlineStr">
        <is>
          <t>Broward County</t>
        </is>
      </c>
      <c r="E464" s="16" t="inlineStr">
        <is>
          <t>Fourplex</t>
        </is>
      </c>
      <c r="F464" s="17" t="n">
        <v>4</v>
      </c>
      <c r="G464" s="18" t="n">
        <v>1150000</v>
      </c>
      <c r="H464" s="18" t="n">
        <v>8750</v>
      </c>
      <c r="I464" s="19">
        <f>H464/G464</f>
        <v/>
      </c>
      <c r="J464" s="18">
        <f>H464*(1-Assumptions!$B$4)</f>
        <v/>
      </c>
      <c r="K464" s="20">
        <f>PMT(Assumptions!$B$2/12, 360, -G464*(1-Assumptions!$B$3))</f>
        <v/>
      </c>
      <c r="L464" s="20">
        <f>J464+K464</f>
        <v/>
      </c>
      <c r="M464" s="21">
        <f>IF(I464&gt;=0.01,50,IF(I464&gt;=0.0095,37,IF(I464&gt;=0.009,25,12)))</f>
        <v/>
      </c>
      <c r="N464" s="21">
        <f>IF(L464&gt;=2000,30,IF(L464&gt;=1000,20,IF(L464&gt;=500,10,5)))</f>
        <v/>
      </c>
      <c r="O464" s="21" t="n">
        <v>13</v>
      </c>
      <c r="P464" s="22">
        <f>M464+N464+O464</f>
        <v/>
      </c>
      <c r="Q464" s="16" t="inlineStr">
        <is>
          <t>A11956640</t>
        </is>
      </c>
      <c r="R464" s="16" t="inlineStr"/>
      <c r="S464" s="16" t="inlineStr"/>
    </row>
    <row r="465">
      <c r="A465" s="15">
        <f>HYPERLINK("https://www.google.com/search?q=A11957746+Miami+MLS+listing", "A11957746")</f>
        <v/>
      </c>
      <c r="B465" s="16" t="inlineStr">
        <is>
          <t>2024 NE 26th St</t>
        </is>
      </c>
      <c r="C465" s="16" t="inlineStr">
        <is>
          <t>33305</t>
        </is>
      </c>
      <c r="D465" s="16" t="inlineStr">
        <is>
          <t>Broward County</t>
        </is>
      </c>
      <c r="E465" s="16" t="inlineStr">
        <is>
          <t>Fourplex</t>
        </is>
      </c>
      <c r="F465" s="17" t="n">
        <v>4</v>
      </c>
      <c r="G465" s="18" t="n">
        <v>789000</v>
      </c>
      <c r="H465" s="18" t="n">
        <v>6015</v>
      </c>
      <c r="I465" s="19">
        <f>H465/G465</f>
        <v/>
      </c>
      <c r="J465" s="18">
        <f>H465*(1-Assumptions!$B$4)</f>
        <v/>
      </c>
      <c r="K465" s="20">
        <f>PMT(Assumptions!$B$2/12, 360, -G465*(1-Assumptions!$B$3))</f>
        <v/>
      </c>
      <c r="L465" s="20">
        <f>J465+K465</f>
        <v/>
      </c>
      <c r="M465" s="21">
        <f>IF(I465&gt;=0.01,50,IF(I465&gt;=0.0095,37,IF(I465&gt;=0.009,25,12)))</f>
        <v/>
      </c>
      <c r="N465" s="21">
        <f>IF(L465&gt;=2000,30,IF(L465&gt;=1000,20,IF(L465&gt;=500,10,5)))</f>
        <v/>
      </c>
      <c r="O465" s="21" t="n">
        <v>13</v>
      </c>
      <c r="P465" s="22">
        <f>M465+N465+O465</f>
        <v/>
      </c>
      <c r="Q465" s="16" t="inlineStr">
        <is>
          <t>A11957746</t>
        </is>
      </c>
      <c r="R465" s="16" t="inlineStr"/>
      <c r="S465" s="16" t="inlineStr"/>
    </row>
    <row r="466">
      <c r="A466" s="15">
        <f>HYPERLINK("https://www.google.com/search?q=A11911684+Miami+MLS+listing", "A11911684")</f>
        <v/>
      </c>
      <c r="B466" s="16" t="inlineStr">
        <is>
          <t>1508 E Garfield St</t>
        </is>
      </c>
      <c r="C466" s="16" t="inlineStr">
        <is>
          <t>33020</t>
        </is>
      </c>
      <c r="D466" s="16" t="inlineStr">
        <is>
          <t>Broward County</t>
        </is>
      </c>
      <c r="E466" s="16" t="inlineStr">
        <is>
          <t>Duplex</t>
        </is>
      </c>
      <c r="F466" s="17" t="n">
        <v>2</v>
      </c>
      <c r="G466" s="18" t="n">
        <v>680000</v>
      </c>
      <c r="H466" s="18" t="n">
        <v>4100</v>
      </c>
      <c r="I466" s="19">
        <f>H466/G466</f>
        <v/>
      </c>
      <c r="J466" s="18">
        <f>H466*(1-Assumptions!$B$4)</f>
        <v/>
      </c>
      <c r="K466" s="20">
        <f>PMT(Assumptions!$B$2/12, 360, -G466*(1-Assumptions!$B$3))</f>
        <v/>
      </c>
      <c r="L466" s="20">
        <f>J466+K466</f>
        <v/>
      </c>
      <c r="M466" s="21">
        <f>IF(I466&gt;=0.01,50,IF(I466&gt;=0.0095,37,IF(I466&gt;=0.009,25,12)))</f>
        <v/>
      </c>
      <c r="N466" s="21">
        <f>IF(L466&gt;=2000,30,IF(L466&gt;=1000,20,IF(L466&gt;=500,10,5)))</f>
        <v/>
      </c>
      <c r="O466" s="21" t="n">
        <v>13</v>
      </c>
      <c r="P466" s="22">
        <f>M466+N466+O466</f>
        <v/>
      </c>
      <c r="Q466" s="16" t="inlineStr">
        <is>
          <t>A11911684</t>
        </is>
      </c>
      <c r="R466" s="16" t="inlineStr"/>
      <c r="S466" s="16" t="inlineStr"/>
    </row>
    <row r="467">
      <c r="A467" s="15">
        <f>HYPERLINK("https://www.google.com/search?q=A11863713+Miami+MLS+listing", "A11863713")</f>
        <v/>
      </c>
      <c r="B467" s="16" t="inlineStr">
        <is>
          <t>3621 NE 1st Ter</t>
        </is>
      </c>
      <c r="C467" s="16" t="inlineStr">
        <is>
          <t>33334</t>
        </is>
      </c>
      <c r="D467" s="16" t="inlineStr">
        <is>
          <t>Broward County</t>
        </is>
      </c>
      <c r="E467" s="16" t="inlineStr">
        <is>
          <t>Duplex</t>
        </is>
      </c>
      <c r="F467" s="17" t="n">
        <v>2</v>
      </c>
      <c r="G467" s="18" t="n">
        <v>628000</v>
      </c>
      <c r="H467" s="18" t="n">
        <v>4050</v>
      </c>
      <c r="I467" s="19">
        <f>H467/G467</f>
        <v/>
      </c>
      <c r="J467" s="18">
        <f>H467*(1-Assumptions!$B$4)</f>
        <v/>
      </c>
      <c r="K467" s="20">
        <f>PMT(Assumptions!$B$2/12, 360, -G467*(1-Assumptions!$B$3))</f>
        <v/>
      </c>
      <c r="L467" s="20">
        <f>J467+K467</f>
        <v/>
      </c>
      <c r="M467" s="21">
        <f>IF(I467&gt;=0.01,50,IF(I467&gt;=0.0095,37,IF(I467&gt;=0.009,25,12)))</f>
        <v/>
      </c>
      <c r="N467" s="21">
        <f>IF(L467&gt;=2000,30,IF(L467&gt;=1000,20,IF(L467&gt;=500,10,5)))</f>
        <v/>
      </c>
      <c r="O467" s="21" t="n">
        <v>13</v>
      </c>
      <c r="P467" s="22">
        <f>M467+N467+O467</f>
        <v/>
      </c>
      <c r="Q467" s="16" t="inlineStr">
        <is>
          <t>A11863713</t>
        </is>
      </c>
      <c r="R467" s="16" t="inlineStr"/>
      <c r="S467" s="16" t="inlineStr"/>
    </row>
    <row r="468">
      <c r="A468" s="15">
        <f>HYPERLINK("https://www.google.com/search?q=A11924854+Miami+MLS+listing", "A11924854")</f>
        <v/>
      </c>
      <c r="B468" s="16" t="inlineStr">
        <is>
          <t>1461 NE 56th St</t>
        </is>
      </c>
      <c r="C468" s="16" t="inlineStr">
        <is>
          <t>33334</t>
        </is>
      </c>
      <c r="D468" s="16" t="inlineStr">
        <is>
          <t>Broward County</t>
        </is>
      </c>
      <c r="E468" s="16" t="inlineStr">
        <is>
          <t>Triplex</t>
        </is>
      </c>
      <c r="F468" s="17" t="n">
        <v>3</v>
      </c>
      <c r="G468" s="18" t="n">
        <v>649900</v>
      </c>
      <c r="H468" s="18" t="n">
        <v>4050</v>
      </c>
      <c r="I468" s="19">
        <f>H468/G468</f>
        <v/>
      </c>
      <c r="J468" s="18">
        <f>H468*(1-Assumptions!$B$4)</f>
        <v/>
      </c>
      <c r="K468" s="20">
        <f>PMT(Assumptions!$B$2/12, 360, -G468*(1-Assumptions!$B$3))</f>
        <v/>
      </c>
      <c r="L468" s="20">
        <f>J468+K468</f>
        <v/>
      </c>
      <c r="M468" s="21">
        <f>IF(I468&gt;=0.01,50,IF(I468&gt;=0.0095,37,IF(I468&gt;=0.009,25,12)))</f>
        <v/>
      </c>
      <c r="N468" s="21">
        <f>IF(L468&gt;=2000,30,IF(L468&gt;=1000,20,IF(L468&gt;=500,10,5)))</f>
        <v/>
      </c>
      <c r="O468" s="21" t="n">
        <v>13</v>
      </c>
      <c r="P468" s="22">
        <f>M468+N468+O468</f>
        <v/>
      </c>
      <c r="Q468" s="16" t="inlineStr">
        <is>
          <t>A11924854</t>
        </is>
      </c>
      <c r="R468" s="16" t="inlineStr"/>
      <c r="S468" s="16" t="inlineStr"/>
    </row>
    <row r="469">
      <c r="A469" s="15">
        <f>HYPERLINK("https://www.google.com/search?q=A11958621+Miami+MLS+listing", "A11958621")</f>
        <v/>
      </c>
      <c r="B469" s="16" t="inlineStr">
        <is>
          <t>4133 SW 52nd St</t>
        </is>
      </c>
      <c r="C469" s="16" t="inlineStr">
        <is>
          <t>33314</t>
        </is>
      </c>
      <c r="D469" s="16" t="inlineStr">
        <is>
          <t>Broward County</t>
        </is>
      </c>
      <c r="E469" s="16" t="inlineStr">
        <is>
          <t>Duplex</t>
        </is>
      </c>
      <c r="F469" s="17" t="n">
        <v>2</v>
      </c>
      <c r="G469" s="18" t="n">
        <v>839000</v>
      </c>
      <c r="H469" s="18" t="n">
        <v>4350</v>
      </c>
      <c r="I469" s="19">
        <f>H469/G469</f>
        <v/>
      </c>
      <c r="J469" s="18">
        <f>H469*(1-Assumptions!$B$4)</f>
        <v/>
      </c>
      <c r="K469" s="20">
        <f>PMT(Assumptions!$B$2/12, 360, -G469*(1-Assumptions!$B$3))</f>
        <v/>
      </c>
      <c r="L469" s="20">
        <f>J469+K469</f>
        <v/>
      </c>
      <c r="M469" s="21">
        <f>IF(I469&gt;=0.01,50,IF(I469&gt;=0.0095,37,IF(I469&gt;=0.009,25,12)))</f>
        <v/>
      </c>
      <c r="N469" s="21">
        <f>IF(L469&gt;=2000,30,IF(L469&gt;=1000,20,IF(L469&gt;=500,10,5)))</f>
        <v/>
      </c>
      <c r="O469" s="21" t="n">
        <v>13</v>
      </c>
      <c r="P469" s="22">
        <f>M469+N469+O469</f>
        <v/>
      </c>
      <c r="Q469" s="16" t="inlineStr">
        <is>
          <t>A11958621</t>
        </is>
      </c>
      <c r="R469" s="16" t="inlineStr"/>
      <c r="S469" s="16" t="inlineStr"/>
    </row>
    <row r="470">
      <c r="A470" s="15">
        <f>HYPERLINK("https://www.google.com/search?q=A11907121+Miami+MLS+listing", "A11907121")</f>
        <v/>
      </c>
      <c r="B470" s="16" t="inlineStr">
        <is>
          <t>230 Apache St</t>
        </is>
      </c>
      <c r="C470" s="16" t="inlineStr">
        <is>
          <t>33070</t>
        </is>
      </c>
      <c r="D470" s="16" t="inlineStr">
        <is>
          <t>Monroe County</t>
        </is>
      </c>
      <c r="E470" s="16" t="inlineStr">
        <is>
          <t>Duplex</t>
        </is>
      </c>
      <c r="F470" s="17" t="n">
        <v>2</v>
      </c>
      <c r="G470" s="18" t="n">
        <v>1350000</v>
      </c>
      <c r="H470" s="18" t="n">
        <v>3700</v>
      </c>
      <c r="I470" s="19">
        <f>H470/G470</f>
        <v/>
      </c>
      <c r="J470" s="18">
        <f>H470*(1-Assumptions!$B$4)</f>
        <v/>
      </c>
      <c r="K470" s="20">
        <f>PMT(Assumptions!$B$2/12, 360, -G470*(1-Assumptions!$B$3))</f>
        <v/>
      </c>
      <c r="L470" s="20">
        <f>J470+K470</f>
        <v/>
      </c>
      <c r="M470" s="21">
        <f>IF(I470&gt;=0.01,50,IF(I470&gt;=0.0095,37,IF(I470&gt;=0.009,25,12)))</f>
        <v/>
      </c>
      <c r="N470" s="21">
        <f>IF(L470&gt;=2000,30,IF(L470&gt;=1000,20,IF(L470&gt;=500,10,5)))</f>
        <v/>
      </c>
      <c r="O470" s="21" t="n">
        <v>7</v>
      </c>
      <c r="P470" s="22">
        <f>M470+N470+O470</f>
        <v/>
      </c>
      <c r="Q470" s="16" t="inlineStr">
        <is>
          <t>A11907121</t>
        </is>
      </c>
      <c r="R470" s="16" t="inlineStr"/>
      <c r="S470" s="16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45" customWidth="1" min="3" max="3"/>
  </cols>
  <sheetData>
    <row r="1">
      <c r="A1" s="6" t="inlineStr">
        <is>
          <t>Address</t>
        </is>
      </c>
      <c r="B1" s="6" t="inlineStr">
        <is>
          <t>MLS ID</t>
        </is>
      </c>
      <c r="C1" s="6" t="inlineStr">
        <is>
          <t>Reason Excluded</t>
        </is>
      </c>
    </row>
    <row r="2">
      <c r="A2" s="23" t="inlineStr">
        <is>
          <t>414 SW 15th Ave</t>
        </is>
      </c>
      <c r="B2" s="23" t="inlineStr">
        <is>
          <t>A11856786</t>
        </is>
      </c>
      <c r="C2" s="23" t="inlineStr">
        <is>
          <t>Incomplete Data</t>
        </is>
      </c>
    </row>
    <row r="3">
      <c r="A3" s="23" t="inlineStr">
        <is>
          <t>676 SW 1st St</t>
        </is>
      </c>
      <c r="B3" s="23" t="inlineStr">
        <is>
          <t>A11705841</t>
        </is>
      </c>
      <c r="C3" s="23" t="inlineStr">
        <is>
          <t>Incomplete Data</t>
        </is>
      </c>
    </row>
    <row r="4">
      <c r="A4" s="23" t="inlineStr">
        <is>
          <t>231 SW 8th Ct</t>
        </is>
      </c>
      <c r="B4" s="23" t="inlineStr">
        <is>
          <t>A11907387</t>
        </is>
      </c>
      <c r="C4" s="23" t="inlineStr">
        <is>
          <t>Incomplete Data</t>
        </is>
      </c>
    </row>
    <row r="5">
      <c r="A5" s="23" t="inlineStr">
        <is>
          <t>1440-1444 NE 147 STREET</t>
        </is>
      </c>
      <c r="B5" s="23" t="inlineStr">
        <is>
          <t>A11900457</t>
        </is>
      </c>
      <c r="C5" s="23" t="inlineStr">
        <is>
          <t>Incomplete Data</t>
        </is>
      </c>
    </row>
    <row r="6">
      <c r="A6" s="23" t="inlineStr">
        <is>
          <t>236 NE 1st St</t>
        </is>
      </c>
      <c r="B6" s="23" t="inlineStr">
        <is>
          <t>A11917289</t>
        </is>
      </c>
      <c r="C6" s="23" t="inlineStr">
        <is>
          <t>Incomplete Data</t>
        </is>
      </c>
    </row>
    <row r="7">
      <c r="A7" s="23" t="inlineStr">
        <is>
          <t>791 NW 22nd Pl</t>
        </is>
      </c>
      <c r="B7" s="23" t="inlineStr">
        <is>
          <t>A11771061</t>
        </is>
      </c>
      <c r="C7" s="23" t="inlineStr">
        <is>
          <t>Incomplete Data</t>
        </is>
      </c>
    </row>
    <row r="8">
      <c r="A8" s="23" t="inlineStr">
        <is>
          <t>190 NW 57th St</t>
        </is>
      </c>
      <c r="B8" s="23" t="inlineStr">
        <is>
          <t>A11509328</t>
        </is>
      </c>
      <c r="C8" s="23" t="inlineStr">
        <is>
          <t>Incomplete Data</t>
        </is>
      </c>
    </row>
    <row r="9">
      <c r="A9" s="23" t="inlineStr">
        <is>
          <t>22 NE 59th St</t>
        </is>
      </c>
      <c r="B9" s="23" t="inlineStr">
        <is>
          <t>A11611294</t>
        </is>
      </c>
      <c r="C9" s="23" t="inlineStr">
        <is>
          <t>Incomplete Data</t>
        </is>
      </c>
    </row>
    <row r="10">
      <c r="A10" s="23" t="inlineStr">
        <is>
          <t>440 SW 5th Ave</t>
        </is>
      </c>
      <c r="B10" s="23" t="inlineStr">
        <is>
          <t>A11441503</t>
        </is>
      </c>
      <c r="C10" s="23" t="inlineStr">
        <is>
          <t>Incomplete Data</t>
        </is>
      </c>
    </row>
    <row r="11">
      <c r="A11" s="23" t="inlineStr">
        <is>
          <t>5431 &amp; 5433 NW 5th Ave</t>
        </is>
      </c>
      <c r="B11" s="23" t="inlineStr">
        <is>
          <t>A11761237</t>
        </is>
      </c>
      <c r="C11" s="23" t="inlineStr">
        <is>
          <t>Incomplete Data</t>
        </is>
      </c>
    </row>
    <row r="12">
      <c r="A12" s="23" t="inlineStr">
        <is>
          <t>1080 NW 65th St</t>
        </is>
      </c>
      <c r="B12" s="23" t="inlineStr">
        <is>
          <t>A11916482</t>
        </is>
      </c>
      <c r="C12" s="23" t="inlineStr">
        <is>
          <t>Incomplete Data</t>
        </is>
      </c>
    </row>
    <row r="13">
      <c r="A13" s="23" t="inlineStr">
        <is>
          <t>1915 Normandy Dr</t>
        </is>
      </c>
      <c r="B13" s="23" t="inlineStr">
        <is>
          <t>A11898159</t>
        </is>
      </c>
      <c r="C13" s="23" t="inlineStr">
        <is>
          <t>Incomplete Data</t>
        </is>
      </c>
    </row>
    <row r="14">
      <c r="A14" s="23" t="inlineStr">
        <is>
          <t>2341 SW 9th St</t>
        </is>
      </c>
      <c r="B14" s="23" t="inlineStr">
        <is>
          <t>A11949596</t>
        </is>
      </c>
      <c r="C14" s="23" t="inlineStr">
        <is>
          <t>Incomplete Data</t>
        </is>
      </c>
    </row>
    <row r="15">
      <c r="A15" s="23" t="inlineStr">
        <is>
          <t>281-283 NW 52nd St</t>
        </is>
      </c>
      <c r="B15" s="23" t="inlineStr">
        <is>
          <t>A11960851</t>
        </is>
      </c>
      <c r="C15" s="23" t="inlineStr">
        <is>
          <t>Incomplete Data</t>
        </is>
      </c>
    </row>
    <row r="16">
      <c r="A16" s="23" t="inlineStr">
        <is>
          <t>335 - 337 NE 168th St</t>
        </is>
      </c>
      <c r="B16" s="23" t="inlineStr">
        <is>
          <t>A11916430</t>
        </is>
      </c>
      <c r="C16" s="23" t="inlineStr">
        <is>
          <t>Incomplete Data</t>
        </is>
      </c>
    </row>
    <row r="17">
      <c r="A17" s="23" t="inlineStr">
        <is>
          <t>4719 NW 32nd Ave</t>
        </is>
      </c>
      <c r="B17" s="23" t="inlineStr">
        <is>
          <t>A11961302</t>
        </is>
      </c>
      <c r="C17" s="23" t="inlineStr">
        <is>
          <t>Incomplete Data</t>
        </is>
      </c>
    </row>
    <row r="18">
      <c r="A18" s="23" t="inlineStr">
        <is>
          <t>1281 W 42nd St</t>
        </is>
      </c>
      <c r="B18" s="23" t="inlineStr">
        <is>
          <t>A11920785</t>
        </is>
      </c>
      <c r="C18" s="23" t="inlineStr">
        <is>
          <t>Incomplete Data</t>
        </is>
      </c>
    </row>
    <row r="19">
      <c r="A19" s="23" t="inlineStr">
        <is>
          <t>305 NW 58th St</t>
        </is>
      </c>
      <c r="B19" s="23" t="inlineStr">
        <is>
          <t>A11917657</t>
        </is>
      </c>
      <c r="C19" s="23" t="inlineStr">
        <is>
          <t>Incomplete Data</t>
        </is>
      </c>
    </row>
    <row r="20">
      <c r="A20" s="23" t="inlineStr">
        <is>
          <t>2029 NW 5th St</t>
        </is>
      </c>
      <c r="B20" s="23" t="inlineStr">
        <is>
          <t>A11917672</t>
        </is>
      </c>
      <c r="C20" s="23" t="inlineStr">
        <is>
          <t>Incomplete Data</t>
        </is>
      </c>
    </row>
    <row r="21">
      <c r="A21" s="23" t="inlineStr">
        <is>
          <t>45 NE 60 Street</t>
        </is>
      </c>
      <c r="B21" s="23" t="inlineStr">
        <is>
          <t>A11932442</t>
        </is>
      </c>
      <c r="C21" s="23" t="inlineStr">
        <is>
          <t>Incomplete Data</t>
        </is>
      </c>
    </row>
    <row r="22">
      <c r="A22" s="23" t="inlineStr">
        <is>
          <t>11152 SW 7th St</t>
        </is>
      </c>
      <c r="B22" s="23" t="inlineStr">
        <is>
          <t>A11908375</t>
        </is>
      </c>
      <c r="C22" s="23" t="inlineStr">
        <is>
          <t>Incomplete Data</t>
        </is>
      </c>
    </row>
    <row r="23">
      <c r="A23" s="23" t="inlineStr">
        <is>
          <t>1947 Adams St</t>
        </is>
      </c>
      <c r="B23" s="23" t="inlineStr">
        <is>
          <t>A11911791</t>
        </is>
      </c>
      <c r="C23" s="23" t="inlineStr">
        <is>
          <t>Incomplete Data</t>
        </is>
      </c>
    </row>
    <row r="24">
      <c r="A24" s="23" t="inlineStr">
        <is>
          <t>1226 NW 6th Ave</t>
        </is>
      </c>
      <c r="B24" s="23" t="inlineStr">
        <is>
          <t>A11965978</t>
        </is>
      </c>
      <c r="C24" s="23" t="inlineStr">
        <is>
          <t>Incomplete Data</t>
        </is>
      </c>
    </row>
    <row r="25">
      <c r="A25" s="23" t="inlineStr">
        <is>
          <t>26540 SW 1 38 th ct</t>
        </is>
      </c>
      <c r="B25" s="23" t="inlineStr">
        <is>
          <t>A11933342</t>
        </is>
      </c>
      <c r="C25" s="23" t="inlineStr">
        <is>
          <t>Incomplete Data</t>
        </is>
      </c>
    </row>
    <row r="26">
      <c r="A26" s="23" t="inlineStr">
        <is>
          <t>18316 SW 102 PL</t>
        </is>
      </c>
      <c r="B26" s="23" t="inlineStr">
        <is>
          <t>A11959685</t>
        </is>
      </c>
      <c r="C26" s="23" t="inlineStr">
        <is>
          <t>Incomplete Data</t>
        </is>
      </c>
    </row>
    <row r="27">
      <c r="A27" s="23" t="inlineStr">
        <is>
          <t>432 NW 103rd St</t>
        </is>
      </c>
      <c r="B27" s="23" t="inlineStr">
        <is>
          <t>A11968983</t>
        </is>
      </c>
      <c r="C27" s="23" t="inlineStr">
        <is>
          <t>Incomplete Data</t>
        </is>
      </c>
    </row>
    <row r="28">
      <c r="A28" s="23" t="inlineStr">
        <is>
          <t>18301 SW 107th Ave</t>
        </is>
      </c>
      <c r="B28" s="23" t="inlineStr">
        <is>
          <t>A11954415</t>
        </is>
      </c>
      <c r="C28" s="23" t="inlineStr">
        <is>
          <t>Incomplete Data</t>
        </is>
      </c>
    </row>
    <row r="29">
      <c r="A29" s="23" t="inlineStr">
        <is>
          <t>1061 NW 108 ter</t>
        </is>
      </c>
      <c r="B29" s="23" t="inlineStr">
        <is>
          <t>A11977330</t>
        </is>
      </c>
      <c r="C29" s="23" t="inlineStr">
        <is>
          <t>Incomplete Data</t>
        </is>
      </c>
    </row>
    <row r="30">
      <c r="A30" s="23" t="inlineStr">
        <is>
          <t>1030 SW 10th Ave</t>
        </is>
      </c>
      <c r="B30" s="23" t="inlineStr">
        <is>
          <t>A11902683</t>
        </is>
      </c>
      <c r="C30" s="23" t="inlineStr">
        <is>
          <t>Incomplete Data</t>
        </is>
      </c>
    </row>
    <row r="31">
      <c r="A31" s="23" t="inlineStr">
        <is>
          <t>243 SW 10th Ave</t>
        </is>
      </c>
      <c r="B31" s="23" t="inlineStr">
        <is>
          <t>A11911892</t>
        </is>
      </c>
      <c r="C31" s="23" t="inlineStr">
        <is>
          <t>Incomplete Data</t>
        </is>
      </c>
    </row>
    <row r="32">
      <c r="A32" s="23" t="inlineStr">
        <is>
          <t>1469 NW 10th St</t>
        </is>
      </c>
      <c r="B32" s="23" t="inlineStr">
        <is>
          <t>A11967203</t>
        </is>
      </c>
      <c r="C32" s="23" t="inlineStr">
        <is>
          <t>Incomplete Data</t>
        </is>
      </c>
    </row>
    <row r="33">
      <c r="A33" s="23" t="inlineStr">
        <is>
          <t>1684 SW 10th St</t>
        </is>
      </c>
      <c r="B33" s="23" t="inlineStr">
        <is>
          <t>A11953824</t>
        </is>
      </c>
      <c r="C33" s="23" t="inlineStr">
        <is>
          <t>Incomplete Data</t>
        </is>
      </c>
    </row>
    <row r="34">
      <c r="A34" s="23" t="inlineStr">
        <is>
          <t>1185 NE 111th St</t>
        </is>
      </c>
      <c r="B34" s="23" t="inlineStr">
        <is>
          <t>A11968468</t>
        </is>
      </c>
      <c r="C34" s="23" t="inlineStr">
        <is>
          <t>Incomplete Data</t>
        </is>
      </c>
    </row>
    <row r="35">
      <c r="A35" s="23" t="inlineStr">
        <is>
          <t>1420 NW 111th St</t>
        </is>
      </c>
      <c r="B35" s="23" t="inlineStr">
        <is>
          <t>A11941516</t>
        </is>
      </c>
      <c r="C35" s="23" t="inlineStr">
        <is>
          <t>Incomplete Data</t>
        </is>
      </c>
    </row>
    <row r="36">
      <c r="A36" s="23" t="inlineStr">
        <is>
          <t>1090 NW 112th St</t>
        </is>
      </c>
      <c r="B36" s="23" t="inlineStr">
        <is>
          <t>A11888144</t>
        </is>
      </c>
      <c r="C36" s="23" t="inlineStr">
        <is>
          <t>Incomplete Data</t>
        </is>
      </c>
    </row>
    <row r="37">
      <c r="A37" s="23" t="inlineStr">
        <is>
          <t>2651 W 12th Ave</t>
        </is>
      </c>
      <c r="B37" s="23" t="inlineStr">
        <is>
          <t>A11945122</t>
        </is>
      </c>
      <c r="C37" s="23" t="inlineStr">
        <is>
          <t>Incomplete Data</t>
        </is>
      </c>
    </row>
    <row r="38">
      <c r="A38" s="23" t="inlineStr">
        <is>
          <t>5842 NW 12th Ave</t>
        </is>
      </c>
      <c r="B38" s="23" t="inlineStr">
        <is>
          <t>A11978195</t>
        </is>
      </c>
      <c r="C38" s="23" t="inlineStr">
        <is>
          <t>Incomplete Data</t>
        </is>
      </c>
    </row>
    <row r="39">
      <c r="A39" s="23" t="inlineStr">
        <is>
          <t>842 SW 12th Ave</t>
        </is>
      </c>
      <c r="B39" s="23" t="inlineStr">
        <is>
          <t>A11930066</t>
        </is>
      </c>
      <c r="C39" s="23" t="inlineStr">
        <is>
          <t>Incomplete Data</t>
        </is>
      </c>
    </row>
    <row r="40">
      <c r="A40" s="23" t="inlineStr">
        <is>
          <t>824 SE 12th Ct</t>
        </is>
      </c>
      <c r="B40" s="23" t="inlineStr">
        <is>
          <t>A11822054</t>
        </is>
      </c>
      <c r="C40" s="23" t="inlineStr">
        <is>
          <t>Incomplete Data</t>
        </is>
      </c>
    </row>
    <row r="41">
      <c r="A41" s="23" t="inlineStr">
        <is>
          <t>760-762 NE 131 st</t>
        </is>
      </c>
      <c r="B41" s="23" t="inlineStr">
        <is>
          <t>A11917647</t>
        </is>
      </c>
      <c r="C41" s="23" t="inlineStr">
        <is>
          <t>Incomplete Data</t>
        </is>
      </c>
    </row>
    <row r="42">
      <c r="A42" s="23" t="inlineStr">
        <is>
          <t>18 SW 13th St</t>
        </is>
      </c>
      <c r="B42" s="23" t="inlineStr">
        <is>
          <t>A11969214</t>
        </is>
      </c>
      <c r="C42" s="23" t="inlineStr">
        <is>
          <t>Incomplete Data</t>
        </is>
      </c>
    </row>
    <row r="43">
      <c r="A43" s="23" t="inlineStr">
        <is>
          <t>3008 NW 13th St</t>
        </is>
      </c>
      <c r="B43" s="23" t="inlineStr">
        <is>
          <t>A11958845</t>
        </is>
      </c>
      <c r="C43" s="23" t="inlineStr">
        <is>
          <t>Incomplete Data</t>
        </is>
      </c>
    </row>
    <row r="44">
      <c r="A44" s="23" t="inlineStr">
        <is>
          <t>11812 NE 14th Ave</t>
        </is>
      </c>
      <c r="B44" s="23" t="inlineStr">
        <is>
          <t>A11955678</t>
        </is>
      </c>
      <c r="C44" s="23" t="inlineStr">
        <is>
          <t>Incomplete Data</t>
        </is>
      </c>
    </row>
    <row r="45">
      <c r="A45" s="23" t="inlineStr">
        <is>
          <t>234 NE 14th Ave</t>
        </is>
      </c>
      <c r="B45" s="23" t="inlineStr">
        <is>
          <t>A11938827</t>
        </is>
      </c>
      <c r="C45" s="23" t="inlineStr">
        <is>
          <t>Incomplete Data</t>
        </is>
      </c>
    </row>
    <row r="46">
      <c r="A46" s="23" t="inlineStr">
        <is>
          <t>59 E 14th St</t>
        </is>
      </c>
      <c r="B46" s="23" t="inlineStr">
        <is>
          <t>A11948177</t>
        </is>
      </c>
      <c r="C46" s="23" t="inlineStr">
        <is>
          <t>Incomplete Data</t>
        </is>
      </c>
    </row>
    <row r="47">
      <c r="A47" s="23" t="inlineStr">
        <is>
          <t>2216 NW 15th Ave</t>
        </is>
      </c>
      <c r="B47" s="23" t="inlineStr">
        <is>
          <t>A11949222</t>
        </is>
      </c>
      <c r="C47" s="23" t="inlineStr">
        <is>
          <t>Incomplete Data</t>
        </is>
      </c>
    </row>
    <row r="48">
      <c r="A48" s="23" t="inlineStr">
        <is>
          <t>2469 SW 15th Street</t>
        </is>
      </c>
      <c r="B48" s="23" t="inlineStr">
        <is>
          <t>A11935228</t>
        </is>
      </c>
      <c r="C48" s="23" t="inlineStr">
        <is>
          <t>Incomplete Data</t>
        </is>
      </c>
    </row>
    <row r="49">
      <c r="A49" s="23" t="inlineStr">
        <is>
          <t>2278 SW 16th Ave</t>
        </is>
      </c>
      <c r="B49" s="23" t="inlineStr">
        <is>
          <t>A11972447</t>
        </is>
      </c>
      <c r="C49" s="23" t="inlineStr">
        <is>
          <t>Incomplete Data</t>
        </is>
      </c>
    </row>
    <row r="50">
      <c r="A50" s="23" t="inlineStr">
        <is>
          <t>625 SW 16th Ave</t>
        </is>
      </c>
      <c r="B50" s="23" t="inlineStr">
        <is>
          <t>A11814449</t>
        </is>
      </c>
      <c r="C50" s="23" t="inlineStr">
        <is>
          <t>Incomplete Data</t>
        </is>
      </c>
    </row>
    <row r="51">
      <c r="A51" s="23" t="inlineStr">
        <is>
          <t>1420 16th St</t>
        </is>
      </c>
      <c r="B51" s="23" t="inlineStr">
        <is>
          <t>A11818124</t>
        </is>
      </c>
      <c r="C51" s="23" t="inlineStr">
        <is>
          <t>Incomplete Data</t>
        </is>
      </c>
    </row>
    <row r="52">
      <c r="A52" s="23" t="inlineStr">
        <is>
          <t>10327 SW 176th St</t>
        </is>
      </c>
      <c r="B52" s="23" t="inlineStr">
        <is>
          <t>A11959673</t>
        </is>
      </c>
      <c r="C52" s="23" t="inlineStr">
        <is>
          <t>Incomplete Data</t>
        </is>
      </c>
    </row>
    <row r="53">
      <c r="A53" s="23" t="inlineStr">
        <is>
          <t>227 NW 17th Ave</t>
        </is>
      </c>
      <c r="B53" s="23" t="inlineStr">
        <is>
          <t>A11878028</t>
        </is>
      </c>
      <c r="C53" s="23" t="inlineStr">
        <is>
          <t>Incomplete Data</t>
        </is>
      </c>
    </row>
    <row r="54">
      <c r="A54" s="23" t="inlineStr">
        <is>
          <t>2540 NE 181st St</t>
        </is>
      </c>
      <c r="B54" s="23" t="inlineStr">
        <is>
          <t>A11903391</t>
        </is>
      </c>
      <c r="C54" s="23" t="inlineStr">
        <is>
          <t>Incomplete Data</t>
        </is>
      </c>
    </row>
    <row r="55">
      <c r="A55" s="23" t="inlineStr">
        <is>
          <t>433 NW 18th Ave</t>
        </is>
      </c>
      <c r="B55" s="23" t="inlineStr">
        <is>
          <t>A11960306</t>
        </is>
      </c>
      <c r="C55" s="23" t="inlineStr">
        <is>
          <t>Incomplete Data</t>
        </is>
      </c>
    </row>
    <row r="56">
      <c r="A56" s="23" t="inlineStr">
        <is>
          <t>1871 NW 18th Ter</t>
        </is>
      </c>
      <c r="B56" s="23" t="inlineStr">
        <is>
          <t>A11896850</t>
        </is>
      </c>
      <c r="C56" s="23" t="inlineStr">
        <is>
          <t>Incomplete Data</t>
        </is>
      </c>
    </row>
    <row r="57">
      <c r="A57" s="23" t="inlineStr">
        <is>
          <t>723 NW 19th Ave</t>
        </is>
      </c>
      <c r="B57" s="23" t="inlineStr">
        <is>
          <t>A11952392</t>
        </is>
      </c>
      <c r="C57" s="23" t="inlineStr">
        <is>
          <t>Incomplete Data</t>
        </is>
      </c>
    </row>
    <row r="58">
      <c r="A58" s="23" t="inlineStr">
        <is>
          <t>1790 NW 19th St</t>
        </is>
      </c>
      <c r="B58" s="23" t="inlineStr">
        <is>
          <t>A11953065</t>
        </is>
      </c>
      <c r="C58" s="23" t="inlineStr">
        <is>
          <t>Incomplete Data</t>
        </is>
      </c>
    </row>
    <row r="59">
      <c r="A59" s="23" t="inlineStr">
        <is>
          <t>6322 NE 1st Pl</t>
        </is>
      </c>
      <c r="B59" s="23" t="inlineStr">
        <is>
          <t>A11964406</t>
        </is>
      </c>
      <c r="C59" s="23" t="inlineStr">
        <is>
          <t>Incomplete Data</t>
        </is>
      </c>
    </row>
    <row r="60">
      <c r="A60" s="23" t="inlineStr">
        <is>
          <t>1342 NW 1st St</t>
        </is>
      </c>
      <c r="B60" s="23" t="inlineStr">
        <is>
          <t>A11964603</t>
        </is>
      </c>
      <c r="C60" s="23" t="inlineStr">
        <is>
          <t>Incomplete Data</t>
        </is>
      </c>
    </row>
    <row r="61">
      <c r="A61" s="23" t="inlineStr">
        <is>
          <t>1428 SW 20th St</t>
        </is>
      </c>
      <c r="B61" s="23" t="inlineStr">
        <is>
          <t>A11950052</t>
        </is>
      </c>
      <c r="C61" s="23" t="inlineStr">
        <is>
          <t>Incomplete Data</t>
        </is>
      </c>
    </row>
    <row r="62">
      <c r="A62" s="23" t="inlineStr">
        <is>
          <t>11911 SW 213</t>
        </is>
      </c>
      <c r="B62" s="23" t="inlineStr">
        <is>
          <t>A11863104</t>
        </is>
      </c>
      <c r="C62" s="23" t="inlineStr">
        <is>
          <t>Incomplete Data</t>
        </is>
      </c>
    </row>
    <row r="63">
      <c r="A63" s="23" t="inlineStr">
        <is>
          <t>7225 SW 21st St</t>
        </is>
      </c>
      <c r="B63" s="23" t="inlineStr">
        <is>
          <t>A11786837</t>
        </is>
      </c>
      <c r="C63" s="23" t="inlineStr">
        <is>
          <t>Incomplete Data</t>
        </is>
      </c>
    </row>
    <row r="64">
      <c r="A64" s="23" t="inlineStr">
        <is>
          <t>1400 NE 21ST STREET</t>
        </is>
      </c>
      <c r="B64" s="23" t="inlineStr">
        <is>
          <t>A11902303</t>
        </is>
      </c>
      <c r="C64" s="23" t="inlineStr">
        <is>
          <t>Incomplete Data</t>
        </is>
      </c>
    </row>
    <row r="65">
      <c r="A65" s="23" t="inlineStr">
        <is>
          <t>404 NW 23rd Ct</t>
        </is>
      </c>
      <c r="B65" s="23" t="inlineStr">
        <is>
          <t>A11866655</t>
        </is>
      </c>
      <c r="C65" s="23" t="inlineStr">
        <is>
          <t>Incomplete Data</t>
        </is>
      </c>
    </row>
    <row r="66">
      <c r="A66" s="23" t="inlineStr">
        <is>
          <t>3460 SW 24th Ter</t>
        </is>
      </c>
      <c r="B66" s="23" t="inlineStr">
        <is>
          <t>A11956078</t>
        </is>
      </c>
      <c r="C66" s="23" t="inlineStr">
        <is>
          <t>Incomplete Data</t>
        </is>
      </c>
    </row>
    <row r="67">
      <c r="A67" s="23" t="inlineStr">
        <is>
          <t>470 NW 26th Ave</t>
        </is>
      </c>
      <c r="B67" s="23" t="inlineStr">
        <is>
          <t>A11618158</t>
        </is>
      </c>
      <c r="C67" s="23" t="inlineStr">
        <is>
          <t>Incomplete Data</t>
        </is>
      </c>
    </row>
    <row r="68">
      <c r="A68" s="23" t="inlineStr">
        <is>
          <t>2399 SW 26th Lane</t>
        </is>
      </c>
      <c r="B68" s="23" t="inlineStr">
        <is>
          <t>A11954033</t>
        </is>
      </c>
      <c r="C68" s="23" t="inlineStr">
        <is>
          <t>Incomplete Data</t>
        </is>
      </c>
    </row>
    <row r="69">
      <c r="A69" s="23" t="inlineStr">
        <is>
          <t>426 NE 26th St</t>
        </is>
      </c>
      <c r="B69" s="23" t="inlineStr">
        <is>
          <t>A11786718</t>
        </is>
      </c>
      <c r="C69" s="23" t="inlineStr">
        <is>
          <t>Incomplete Data</t>
        </is>
      </c>
    </row>
    <row r="70">
      <c r="A70" s="23" t="inlineStr">
        <is>
          <t>2459 NW 28th ST</t>
        </is>
      </c>
      <c r="B70" s="23" t="inlineStr">
        <is>
          <t>A11925018</t>
        </is>
      </c>
      <c r="C70" s="23" t="inlineStr">
        <is>
          <t>Incomplete Data</t>
        </is>
      </c>
    </row>
    <row r="71">
      <c r="A71" s="23" t="inlineStr">
        <is>
          <t>8640 NE 2nd Ave</t>
        </is>
      </c>
      <c r="B71" s="23" t="inlineStr">
        <is>
          <t>A11970587</t>
        </is>
      </c>
      <c r="C71" s="23" t="inlineStr">
        <is>
          <t>Incomplete Data</t>
        </is>
      </c>
    </row>
    <row r="72">
      <c r="A72" s="23" t="inlineStr">
        <is>
          <t>1037 NW 2nd St</t>
        </is>
      </c>
      <c r="B72" s="23" t="inlineStr">
        <is>
          <t>A11825930</t>
        </is>
      </c>
      <c r="C72" s="23" t="inlineStr">
        <is>
          <t>Incomplete Data</t>
        </is>
      </c>
    </row>
    <row r="73">
      <c r="A73" s="23" t="inlineStr">
        <is>
          <t>2600 SW 2nd St</t>
        </is>
      </c>
      <c r="B73" s="23" t="inlineStr">
        <is>
          <t>A11950139</t>
        </is>
      </c>
      <c r="C73" s="23" t="inlineStr">
        <is>
          <t>Incomplete Data</t>
        </is>
      </c>
    </row>
    <row r="74">
      <c r="A74" s="23" t="inlineStr">
        <is>
          <t>2818 SW 2nd St</t>
        </is>
      </c>
      <c r="B74" s="23" t="inlineStr">
        <is>
          <t>A11942579</t>
        </is>
      </c>
      <c r="C74" s="23" t="inlineStr">
        <is>
          <t>Incomplete Data</t>
        </is>
      </c>
    </row>
    <row r="75">
      <c r="A75" s="23" t="inlineStr">
        <is>
          <t>333 SW 30th Ave</t>
        </is>
      </c>
      <c r="B75" s="23" t="inlineStr">
        <is>
          <t>A11897967</t>
        </is>
      </c>
      <c r="C75" s="23" t="inlineStr">
        <is>
          <t>Incomplete Data</t>
        </is>
      </c>
    </row>
    <row r="76">
      <c r="A76" s="23" t="inlineStr">
        <is>
          <t>145 NW 32nd St</t>
        </is>
      </c>
      <c r="B76" s="23" t="inlineStr">
        <is>
          <t>A11841828</t>
        </is>
      </c>
      <c r="C76" s="23" t="inlineStr">
        <is>
          <t>Incomplete Data</t>
        </is>
      </c>
    </row>
    <row r="77">
      <c r="A77" s="23" t="inlineStr">
        <is>
          <t>836 NW 33rd Ave</t>
        </is>
      </c>
      <c r="B77" s="23" t="inlineStr">
        <is>
          <t>A11975707</t>
        </is>
      </c>
      <c r="C77" s="23" t="inlineStr">
        <is>
          <t>Incomplete Data</t>
        </is>
      </c>
    </row>
    <row r="78">
      <c r="A78" s="23" t="inlineStr">
        <is>
          <t>1648 NW 33rd St</t>
        </is>
      </c>
      <c r="B78" s="23" t="inlineStr">
        <is>
          <t>A11955887</t>
        </is>
      </c>
      <c r="C78" s="23" t="inlineStr">
        <is>
          <t>Incomplete Data</t>
        </is>
      </c>
    </row>
    <row r="79">
      <c r="A79" s="23" t="inlineStr">
        <is>
          <t>70 NW 33rd St</t>
        </is>
      </c>
      <c r="B79" s="23" t="inlineStr">
        <is>
          <t>A11751203</t>
        </is>
      </c>
      <c r="C79" s="23" t="inlineStr">
        <is>
          <t>Incomplete Data</t>
        </is>
      </c>
    </row>
    <row r="80">
      <c r="A80" s="23" t="inlineStr">
        <is>
          <t>2633 SW 34th Ave</t>
        </is>
      </c>
      <c r="B80" s="23" t="inlineStr">
        <is>
          <t>A11961013</t>
        </is>
      </c>
      <c r="C80" s="23" t="inlineStr">
        <is>
          <t>Incomplete Data</t>
        </is>
      </c>
    </row>
    <row r="81">
      <c r="A81" s="23" t="inlineStr">
        <is>
          <t>2110 NW 34th St</t>
        </is>
      </c>
      <c r="B81" s="23" t="inlineStr">
        <is>
          <t>A11954652</t>
        </is>
      </c>
      <c r="C81" s="23" t="inlineStr">
        <is>
          <t>Incomplete Data</t>
        </is>
      </c>
    </row>
    <row r="82">
      <c r="A82" s="23" t="inlineStr">
        <is>
          <t>280 NW 34th St</t>
        </is>
      </c>
      <c r="B82" s="23" t="inlineStr">
        <is>
          <t>A11960405</t>
        </is>
      </c>
      <c r="C82" s="23" t="inlineStr">
        <is>
          <t>Incomplete Data</t>
        </is>
      </c>
    </row>
    <row r="83">
      <c r="A83" s="23" t="inlineStr">
        <is>
          <t>67 NW 34th St</t>
        </is>
      </c>
      <c r="B83" s="23" t="inlineStr">
        <is>
          <t>A11932373</t>
        </is>
      </c>
      <c r="C83" s="23" t="inlineStr">
        <is>
          <t>Incomplete Data</t>
        </is>
      </c>
    </row>
    <row r="84">
      <c r="A84" s="23" t="inlineStr">
        <is>
          <t>2862 SW 38th Ct</t>
        </is>
      </c>
      <c r="B84" s="23" t="inlineStr">
        <is>
          <t>A11978394</t>
        </is>
      </c>
      <c r="C84" s="23" t="inlineStr">
        <is>
          <t>Incomplete Data</t>
        </is>
      </c>
    </row>
    <row r="85">
      <c r="A85" s="23" t="inlineStr">
        <is>
          <t>310 NE 38th St</t>
        </is>
      </c>
      <c r="B85" s="23" t="inlineStr">
        <is>
          <t>A11964445</t>
        </is>
      </c>
      <c r="C85" s="23" t="inlineStr">
        <is>
          <t>Incomplete Data</t>
        </is>
      </c>
    </row>
    <row r="86">
      <c r="A86" s="23" t="inlineStr">
        <is>
          <t>231 NW 3rd Ave</t>
        </is>
      </c>
      <c r="B86" s="23" t="inlineStr">
        <is>
          <t>A11943550</t>
        </is>
      </c>
      <c r="C86" s="23" t="inlineStr">
        <is>
          <t>Incomplete Data</t>
        </is>
      </c>
    </row>
    <row r="87">
      <c r="A87" s="23" t="inlineStr">
        <is>
          <t>3240 NW 3rd Ave</t>
        </is>
      </c>
      <c r="B87" s="23" t="inlineStr">
        <is>
          <t>A11943253</t>
        </is>
      </c>
      <c r="C87" s="23" t="inlineStr">
        <is>
          <t>Incomplete Data</t>
        </is>
      </c>
    </row>
    <row r="88">
      <c r="A88" s="23" t="inlineStr">
        <is>
          <t>5743 NW 3rd Ave</t>
        </is>
      </c>
      <c r="B88" s="23" t="inlineStr">
        <is>
          <t>A11974895</t>
        </is>
      </c>
      <c r="C88" s="23" t="inlineStr">
        <is>
          <t>Incomplete Data</t>
        </is>
      </c>
    </row>
    <row r="89">
      <c r="A89" s="23" t="inlineStr">
        <is>
          <t>601 NW 3rd Ave</t>
        </is>
      </c>
      <c r="B89" s="23" t="inlineStr">
        <is>
          <t>A11963504</t>
        </is>
      </c>
      <c r="C89" s="23" t="inlineStr">
        <is>
          <t>Incomplete Data</t>
        </is>
      </c>
    </row>
    <row r="90">
      <c r="A90" s="23" t="inlineStr">
        <is>
          <t>9254 NW 3rd Ave</t>
        </is>
      </c>
      <c r="B90" s="23" t="inlineStr">
        <is>
          <t>A11929117</t>
        </is>
      </c>
      <c r="C90" s="23" t="inlineStr">
        <is>
          <t>Incomplete Data</t>
        </is>
      </c>
    </row>
    <row r="91">
      <c r="A91" s="23" t="inlineStr">
        <is>
          <t>417 SW 3rd St</t>
        </is>
      </c>
      <c r="B91" s="23" t="inlineStr">
        <is>
          <t>A11926805</t>
        </is>
      </c>
      <c r="C91" s="23" t="inlineStr">
        <is>
          <t>Incomplete Data</t>
        </is>
      </c>
    </row>
    <row r="92">
      <c r="A92" s="23" t="inlineStr">
        <is>
          <t>1831 NW 41 st</t>
        </is>
      </c>
      <c r="B92" s="23" t="inlineStr">
        <is>
          <t>A11938523</t>
        </is>
      </c>
      <c r="C92" s="23" t="inlineStr">
        <is>
          <t>Incomplete Data</t>
        </is>
      </c>
    </row>
    <row r="93">
      <c r="A93" s="23" t="inlineStr">
        <is>
          <t>43 NW 41st St</t>
        </is>
      </c>
      <c r="B93" s="23" t="inlineStr">
        <is>
          <t>A11975936</t>
        </is>
      </c>
      <c r="C93" s="23" t="inlineStr">
        <is>
          <t>Incomplete Data</t>
        </is>
      </c>
    </row>
    <row r="94">
      <c r="A94" s="23" t="inlineStr">
        <is>
          <t>1355-1357 NW 42nd STREET</t>
        </is>
      </c>
      <c r="B94" s="23" t="inlineStr">
        <is>
          <t>A11953125</t>
        </is>
      </c>
      <c r="C94" s="23" t="inlineStr">
        <is>
          <t>Incomplete Data</t>
        </is>
      </c>
    </row>
    <row r="95">
      <c r="A95" s="23" t="inlineStr">
        <is>
          <t>151 W 44th St</t>
        </is>
      </c>
      <c r="B95" s="23" t="inlineStr">
        <is>
          <t>A11947579</t>
        </is>
      </c>
      <c r="C95" s="23" t="inlineStr">
        <is>
          <t>Incomplete Data</t>
        </is>
      </c>
    </row>
    <row r="96">
      <c r="A96" s="23" t="inlineStr">
        <is>
          <t>1810 NW 46th St</t>
        </is>
      </c>
      <c r="B96" s="23" t="inlineStr">
        <is>
          <t>A11967666</t>
        </is>
      </c>
      <c r="C96" s="23" t="inlineStr">
        <is>
          <t>Incomplete Data</t>
        </is>
      </c>
    </row>
    <row r="97">
      <c r="A97" s="23" t="inlineStr">
        <is>
          <t>15803 NW 47th Ave</t>
        </is>
      </c>
      <c r="B97" s="23" t="inlineStr">
        <is>
          <t>A11807934</t>
        </is>
      </c>
      <c r="C97" s="23" t="inlineStr">
        <is>
          <t>Incomplete Data</t>
        </is>
      </c>
    </row>
    <row r="98">
      <c r="A98" s="23" t="inlineStr">
        <is>
          <t>1818 NW 49th St</t>
        </is>
      </c>
      <c r="B98" s="23" t="inlineStr">
        <is>
          <t>A11924895</t>
        </is>
      </c>
      <c r="C98" s="23" t="inlineStr">
        <is>
          <t>Incomplete Data</t>
        </is>
      </c>
    </row>
    <row r="99">
      <c r="A99" s="23" t="inlineStr">
        <is>
          <t>709 SW 4th Ct</t>
        </is>
      </c>
      <c r="B99" s="23" t="inlineStr">
        <is>
          <t>A11976485</t>
        </is>
      </c>
      <c r="C99" s="23" t="inlineStr">
        <is>
          <t>Incomplete Data</t>
        </is>
      </c>
    </row>
    <row r="100">
      <c r="A100" s="23" t="inlineStr">
        <is>
          <t>11021 SW 4th St</t>
        </is>
      </c>
      <c r="B100" s="23" t="inlineStr">
        <is>
          <t>A11959599</t>
        </is>
      </c>
      <c r="C100" s="23" t="inlineStr">
        <is>
          <t>Incomplete Data</t>
        </is>
      </c>
    </row>
    <row r="101">
      <c r="A101" s="23" t="inlineStr">
        <is>
          <t>3532 NW 4th Ter</t>
        </is>
      </c>
      <c r="B101" s="23" t="inlineStr">
        <is>
          <t>A11973788</t>
        </is>
      </c>
      <c r="C101" s="23" t="inlineStr">
        <is>
          <t>Incomplete Data</t>
        </is>
      </c>
    </row>
    <row r="102">
      <c r="A102" s="23" t="inlineStr">
        <is>
          <t>1436 NW 51st Ter</t>
        </is>
      </c>
      <c r="B102" s="23" t="inlineStr">
        <is>
          <t>A11977897</t>
        </is>
      </c>
      <c r="C102" s="23" t="inlineStr">
        <is>
          <t>Incomplete Data</t>
        </is>
      </c>
    </row>
    <row r="103">
      <c r="A103" s="23" t="inlineStr">
        <is>
          <t>1750 NE 52nd St</t>
        </is>
      </c>
      <c r="B103" s="23" t="inlineStr">
        <is>
          <t>A11912364</t>
        </is>
      </c>
      <c r="C103" s="23" t="inlineStr">
        <is>
          <t>Incomplete Data</t>
        </is>
      </c>
    </row>
    <row r="104">
      <c r="A104" s="23" t="inlineStr">
        <is>
          <t>2042 NW 55 TERRACE</t>
        </is>
      </c>
      <c r="B104" s="23" t="inlineStr">
        <is>
          <t>A11944698</t>
        </is>
      </c>
      <c r="C104" s="23" t="inlineStr">
        <is>
          <t>Incomplete Data</t>
        </is>
      </c>
    </row>
    <row r="105">
      <c r="A105" s="23" t="inlineStr">
        <is>
          <t>1076 NW 55th St</t>
        </is>
      </c>
      <c r="B105" s="23" t="inlineStr">
        <is>
          <t>A11876545</t>
        </is>
      </c>
      <c r="C105" s="23" t="inlineStr">
        <is>
          <t>Incomplete Data</t>
        </is>
      </c>
    </row>
    <row r="106">
      <c r="A106" s="23" t="inlineStr">
        <is>
          <t>251 NW 57th Ave</t>
        </is>
      </c>
      <c r="B106" s="23" t="inlineStr">
        <is>
          <t>A11817325</t>
        </is>
      </c>
      <c r="C106" s="23" t="inlineStr">
        <is>
          <t>Incomplete Data</t>
        </is>
      </c>
    </row>
    <row r="107">
      <c r="A107" s="23" t="inlineStr">
        <is>
          <t>35 NW 57th St</t>
        </is>
      </c>
      <c r="B107" s="23" t="inlineStr">
        <is>
          <t>A11958609</t>
        </is>
      </c>
      <c r="C107" s="23" t="inlineStr">
        <is>
          <t>Incomplete Data</t>
        </is>
      </c>
    </row>
    <row r="108">
      <c r="A108" s="23" t="inlineStr">
        <is>
          <t>4945 NW 5th Ave</t>
        </is>
      </c>
      <c r="B108" s="23" t="inlineStr">
        <is>
          <t>A11964439</t>
        </is>
      </c>
      <c r="C108" s="23" t="inlineStr">
        <is>
          <t>Incomplete Data</t>
        </is>
      </c>
    </row>
    <row r="109">
      <c r="A109" s="23" t="inlineStr">
        <is>
          <t>5130 NW 5th Ave</t>
        </is>
      </c>
      <c r="B109" s="23" t="inlineStr">
        <is>
          <t>A11848580</t>
        </is>
      </c>
      <c r="C109" s="23" t="inlineStr">
        <is>
          <t>Incomplete Data</t>
        </is>
      </c>
    </row>
    <row r="110">
      <c r="A110" s="23" t="inlineStr">
        <is>
          <t>5140 NW 5th Ave</t>
        </is>
      </c>
      <c r="B110" s="23" t="inlineStr">
        <is>
          <t>A11848576</t>
        </is>
      </c>
      <c r="C110" s="23" t="inlineStr">
        <is>
          <t>Incomplete Data</t>
        </is>
      </c>
    </row>
    <row r="111">
      <c r="A111" s="23" t="inlineStr">
        <is>
          <t>7823 NW 5th Ave</t>
        </is>
      </c>
      <c r="B111" s="23" t="inlineStr">
        <is>
          <t>A11960441</t>
        </is>
      </c>
      <c r="C111" s="23" t="inlineStr">
        <is>
          <t>Incomplete Data</t>
        </is>
      </c>
    </row>
    <row r="112">
      <c r="A112" s="23" t="inlineStr">
        <is>
          <t>5130 - 5140 NW 5th Avenue</t>
        </is>
      </c>
      <c r="B112" s="23" t="inlineStr">
        <is>
          <t>A11968039</t>
        </is>
      </c>
      <c r="C112" s="23" t="inlineStr">
        <is>
          <t>Incomplete Data</t>
        </is>
      </c>
    </row>
    <row r="113">
      <c r="A113" s="23" t="inlineStr">
        <is>
          <t>1801 NW 5th St</t>
        </is>
      </c>
      <c r="B113" s="23" t="inlineStr">
        <is>
          <t>A11883201</t>
        </is>
      </c>
      <c r="C113" s="23" t="inlineStr">
        <is>
          <t>Incomplete Data</t>
        </is>
      </c>
    </row>
    <row r="114">
      <c r="A114" s="23" t="inlineStr">
        <is>
          <t>1858 SW 5th St</t>
        </is>
      </c>
      <c r="B114" s="23" t="inlineStr">
        <is>
          <t>A11848656</t>
        </is>
      </c>
      <c r="C114" s="23" t="inlineStr">
        <is>
          <t>Incomplete Data</t>
        </is>
      </c>
    </row>
    <row r="115">
      <c r="A115" s="23" t="inlineStr">
        <is>
          <t>2619 SW 5th St</t>
        </is>
      </c>
      <c r="B115" s="23" t="inlineStr">
        <is>
          <t>A11857388</t>
        </is>
      </c>
      <c r="C115" s="23" t="inlineStr">
        <is>
          <t>Incomplete Data</t>
        </is>
      </c>
    </row>
    <row r="116">
      <c r="A116" s="23" t="inlineStr">
        <is>
          <t>55-53 NE 60th ST</t>
        </is>
      </c>
      <c r="B116" s="23" t="inlineStr">
        <is>
          <t>A11941886</t>
        </is>
      </c>
      <c r="C116" s="23" t="inlineStr">
        <is>
          <t>Incomplete Data</t>
        </is>
      </c>
    </row>
    <row r="117">
      <c r="A117" s="23" t="inlineStr">
        <is>
          <t>1836 NW 63rd St</t>
        </is>
      </c>
      <c r="B117" s="23" t="inlineStr">
        <is>
          <t>A11964123</t>
        </is>
      </c>
      <c r="C117" s="23" t="inlineStr">
        <is>
          <t>Incomplete Data</t>
        </is>
      </c>
    </row>
    <row r="118">
      <c r="A118" s="23" t="inlineStr">
        <is>
          <t>1840 NW 63rd St</t>
        </is>
      </c>
      <c r="B118" s="23" t="inlineStr">
        <is>
          <t>A11964120</t>
        </is>
      </c>
      <c r="C118" s="23" t="inlineStr">
        <is>
          <t>Incomplete Data</t>
        </is>
      </c>
    </row>
    <row r="119">
      <c r="A119" s="23" t="inlineStr">
        <is>
          <t>1511 NW 64th St</t>
        </is>
      </c>
      <c r="B119" s="23" t="inlineStr">
        <is>
          <t>A11964597</t>
        </is>
      </c>
      <c r="C119" s="23" t="inlineStr">
        <is>
          <t>Incomplete Data</t>
        </is>
      </c>
    </row>
    <row r="120">
      <c r="A120" s="23" t="inlineStr">
        <is>
          <t>138 NE 68th Ter</t>
        </is>
      </c>
      <c r="B120" s="23" t="inlineStr">
        <is>
          <t>A11870457</t>
        </is>
      </c>
      <c r="C120" s="23" t="inlineStr">
        <is>
          <t>Incomplete Data</t>
        </is>
      </c>
    </row>
    <row r="121">
      <c r="A121" s="23" t="inlineStr">
        <is>
          <t>5731 NW 6th Ave</t>
        </is>
      </c>
      <c r="B121" s="23" t="inlineStr">
        <is>
          <t>A11970248</t>
        </is>
      </c>
      <c r="C121" s="23" t="inlineStr">
        <is>
          <t>Incomplete Data</t>
        </is>
      </c>
    </row>
    <row r="122">
      <c r="A122" s="23" t="inlineStr">
        <is>
          <t>1143 NW 6th St</t>
        </is>
      </c>
      <c r="B122" s="23" t="inlineStr">
        <is>
          <t>A11973755</t>
        </is>
      </c>
      <c r="C122" s="23" t="inlineStr">
        <is>
          <t>Incomplete Data</t>
        </is>
      </c>
    </row>
    <row r="123">
      <c r="A123" s="23" t="inlineStr">
        <is>
          <t>742 NW 70th St</t>
        </is>
      </c>
      <c r="B123" s="23" t="inlineStr">
        <is>
          <t>A11952808</t>
        </is>
      </c>
      <c r="C123" s="23" t="inlineStr">
        <is>
          <t>Incomplete Data</t>
        </is>
      </c>
    </row>
    <row r="124">
      <c r="A124" s="23" t="inlineStr">
        <is>
          <t>325 NW 7th Ave</t>
        </is>
      </c>
      <c r="B124" s="23" t="inlineStr">
        <is>
          <t>A11740388</t>
        </is>
      </c>
      <c r="C124" s="23" t="inlineStr">
        <is>
          <t>Incomplete Data</t>
        </is>
      </c>
    </row>
    <row r="125">
      <c r="A125" s="23" t="inlineStr">
        <is>
          <t>1245 NW 7th Ct</t>
        </is>
      </c>
      <c r="B125" s="23" t="inlineStr">
        <is>
          <t>A11945690</t>
        </is>
      </c>
      <c r="C125" s="23" t="inlineStr">
        <is>
          <t>Incomplete Data</t>
        </is>
      </c>
    </row>
    <row r="126">
      <c r="A126" s="23" t="inlineStr">
        <is>
          <t>756 84th St</t>
        </is>
      </c>
      <c r="B126" s="23" t="inlineStr">
        <is>
          <t>A11929400</t>
        </is>
      </c>
      <c r="C126" s="23" t="inlineStr">
        <is>
          <t>Incomplete Data</t>
        </is>
      </c>
    </row>
    <row r="127">
      <c r="A127" s="23" t="inlineStr">
        <is>
          <t>5168 E 8th Ln</t>
        </is>
      </c>
      <c r="B127" s="23" t="inlineStr">
        <is>
          <t>A11933136</t>
        </is>
      </c>
      <c r="C127" s="23" t="inlineStr">
        <is>
          <t>Incomplete Data</t>
        </is>
      </c>
    </row>
    <row r="128">
      <c r="A128" s="23" t="inlineStr">
        <is>
          <t>1855 NW 93rd Ter</t>
        </is>
      </c>
      <c r="B128" s="23" t="inlineStr">
        <is>
          <t>A11972723</t>
        </is>
      </c>
      <c r="C128" s="23" t="inlineStr">
        <is>
          <t>Incomplete Data</t>
        </is>
      </c>
    </row>
    <row r="129">
      <c r="A129" s="23" t="inlineStr">
        <is>
          <t>1040 94 street</t>
        </is>
      </c>
      <c r="B129" s="23" t="inlineStr">
        <is>
          <t>A11837608</t>
        </is>
      </c>
      <c r="C129" s="23" t="inlineStr">
        <is>
          <t>Incomplete Data</t>
        </is>
      </c>
    </row>
    <row r="130">
      <c r="A130" s="23" t="inlineStr">
        <is>
          <t>2390 NW 95th Terr</t>
        </is>
      </c>
      <c r="B130" s="23" t="inlineStr">
        <is>
          <t>A11888593</t>
        </is>
      </c>
      <c r="C130" s="23" t="inlineStr">
        <is>
          <t>Incomplete Data</t>
        </is>
      </c>
    </row>
    <row r="131">
      <c r="A131" s="23" t="inlineStr">
        <is>
          <t>7770 NW 9th Ave</t>
        </is>
      </c>
      <c r="B131" s="23" t="inlineStr">
        <is>
          <t>A11962375</t>
        </is>
      </c>
      <c r="C131" s="23" t="inlineStr">
        <is>
          <t>Incomplete Data</t>
        </is>
      </c>
    </row>
    <row r="132">
      <c r="A132" s="23" t="inlineStr">
        <is>
          <t>943 SW 9th Ave</t>
        </is>
      </c>
      <c r="B132" s="23" t="inlineStr">
        <is>
          <t>A11944616</t>
        </is>
      </c>
      <c r="C132" s="23" t="inlineStr">
        <is>
          <t>Incomplete Data</t>
        </is>
      </c>
    </row>
    <row r="133">
      <c r="A133" s="23" t="inlineStr">
        <is>
          <t>312 SW 9th St</t>
        </is>
      </c>
      <c r="B133" s="23" t="inlineStr">
        <is>
          <t>A11874717</t>
        </is>
      </c>
      <c r="C133" s="23" t="inlineStr">
        <is>
          <t>Incomplete Data</t>
        </is>
      </c>
    </row>
    <row r="134">
      <c r="A134" s="23" t="inlineStr">
        <is>
          <t>968 W 9th St</t>
        </is>
      </c>
      <c r="B134" s="23" t="inlineStr">
        <is>
          <t>A11952576</t>
        </is>
      </c>
      <c r="C134" s="23" t="inlineStr">
        <is>
          <t>Incomplete Data</t>
        </is>
      </c>
    </row>
    <row r="135">
      <c r="A135" s="23" t="inlineStr">
        <is>
          <t>2441 NW 9th Ter</t>
        </is>
      </c>
      <c r="B135" s="23" t="inlineStr">
        <is>
          <t>A11942800</t>
        </is>
      </c>
      <c r="C135" s="23" t="inlineStr">
        <is>
          <t>Incomplete Data</t>
        </is>
      </c>
    </row>
    <row r="136">
      <c r="A136" s="23" t="inlineStr">
        <is>
          <t>1192 Ac Evans St</t>
        </is>
      </c>
      <c r="B136" s="23" t="inlineStr">
        <is>
          <t>A11976750</t>
        </is>
      </c>
      <c r="C136" s="23" t="inlineStr">
        <is>
          <t>Incomplete Data</t>
        </is>
      </c>
    </row>
    <row r="137">
      <c r="A137" s="23" t="inlineStr">
        <is>
          <t>1610 Bay Rd</t>
        </is>
      </c>
      <c r="B137" s="23" t="inlineStr">
        <is>
          <t>A11952743</t>
        </is>
      </c>
      <c r="C137" s="23" t="inlineStr">
        <is>
          <t>Incomplete Data</t>
        </is>
      </c>
    </row>
    <row r="138">
      <c r="A138" s="23" t="inlineStr">
        <is>
          <t>1910 and 1920 Biarritz Dr</t>
        </is>
      </c>
      <c r="B138" s="23" t="inlineStr">
        <is>
          <t>A11319397</t>
        </is>
      </c>
      <c r="C138" s="23" t="inlineStr">
        <is>
          <t>Incomplete Data</t>
        </is>
      </c>
    </row>
    <row r="139">
      <c r="A139" s="23" t="inlineStr">
        <is>
          <t>2955 Bird Ave</t>
        </is>
      </c>
      <c r="B139" s="23" t="inlineStr">
        <is>
          <t>A11752626</t>
        </is>
      </c>
      <c r="C139" s="23" t="inlineStr">
        <is>
          <t>Incomplete Data</t>
        </is>
      </c>
    </row>
    <row r="140">
      <c r="A140" s="23" t="inlineStr">
        <is>
          <t>325 Bird Rd</t>
        </is>
      </c>
      <c r="B140" s="23" t="inlineStr">
        <is>
          <t>A11941658</t>
        </is>
      </c>
      <c r="C140" s="23" t="inlineStr">
        <is>
          <t>Incomplete Data</t>
        </is>
      </c>
    </row>
    <row r="141">
      <c r="A141" s="23" t="inlineStr">
        <is>
          <t>1975 Calais Dr</t>
        </is>
      </c>
      <c r="B141" s="23" t="inlineStr">
        <is>
          <t>A11675758</t>
        </is>
      </c>
      <c r="C141" s="23" t="inlineStr">
        <is>
          <t>Incomplete Data</t>
        </is>
      </c>
    </row>
    <row r="142">
      <c r="A142" s="23" t="inlineStr">
        <is>
          <t>1007 Citrus Isle</t>
        </is>
      </c>
      <c r="B142" s="23" t="inlineStr">
        <is>
          <t>A11849993</t>
        </is>
      </c>
      <c r="C142" s="23" t="inlineStr">
        <is>
          <t>Incomplete Data</t>
        </is>
      </c>
    </row>
    <row r="143">
      <c r="A143" s="23" t="inlineStr">
        <is>
          <t>2394 Coco Plum</t>
        </is>
      </c>
      <c r="B143" s="23" t="inlineStr">
        <is>
          <t>A11941364</t>
        </is>
      </c>
      <c r="C143" s="23" t="inlineStr">
        <is>
          <t>Incomplete Data</t>
        </is>
      </c>
    </row>
    <row r="144">
      <c r="A144" s="23" t="inlineStr">
        <is>
          <t>7805 &amp; 7815 Crespi Blvd</t>
        </is>
      </c>
      <c r="B144" s="23" t="inlineStr">
        <is>
          <t>A11627179</t>
        </is>
      </c>
      <c r="C144" s="23" t="inlineStr">
        <is>
          <t>Incomplete Data</t>
        </is>
      </c>
    </row>
    <row r="145">
      <c r="A145" s="23" t="inlineStr">
        <is>
          <t>1411 Grant St</t>
        </is>
      </c>
      <c r="B145" s="23" t="inlineStr">
        <is>
          <t>A11907799</t>
        </is>
      </c>
      <c r="C145" s="23" t="inlineStr">
        <is>
          <t>Incomplete Data</t>
        </is>
      </c>
    </row>
    <row r="146">
      <c r="A146" s="23" t="inlineStr">
        <is>
          <t>745-747 Lenox Ave</t>
        </is>
      </c>
      <c r="B146" s="23" t="inlineStr">
        <is>
          <t>A11928120</t>
        </is>
      </c>
      <c r="C146" s="23" t="inlineStr">
        <is>
          <t>Incomplete Data</t>
        </is>
      </c>
    </row>
    <row r="147">
      <c r="A147" s="23" t="inlineStr">
        <is>
          <t>139 Marina Ave</t>
        </is>
      </c>
      <c r="B147" s="23" t="inlineStr">
        <is>
          <t>A11914692</t>
        </is>
      </c>
      <c r="C147" s="23" t="inlineStr">
        <is>
          <t>Incomplete Data</t>
        </is>
      </c>
    </row>
    <row r="148">
      <c r="A148" s="23" t="inlineStr">
        <is>
          <t>112 Milton St</t>
        </is>
      </c>
      <c r="B148" s="23" t="inlineStr">
        <is>
          <t>A11923147</t>
        </is>
      </c>
      <c r="C148" s="23" t="inlineStr">
        <is>
          <t>Incomplete Data</t>
        </is>
      </c>
    </row>
    <row r="149">
      <c r="A149" s="23" t="inlineStr">
        <is>
          <t>3405 Norfolk St</t>
        </is>
      </c>
      <c r="B149" s="23" t="inlineStr">
        <is>
          <t>A11970507</t>
        </is>
      </c>
      <c r="C149" s="23" t="inlineStr">
        <is>
          <t>Incomplete Data</t>
        </is>
      </c>
    </row>
    <row r="150">
      <c r="A150" s="23" t="inlineStr">
        <is>
          <t>3603 Thomas Avenue</t>
        </is>
      </c>
      <c r="B150" s="23" t="inlineStr">
        <is>
          <t>A11924683</t>
        </is>
      </c>
      <c r="C150" s="23" t="inlineStr">
        <is>
          <t>Incomplete Data</t>
        </is>
      </c>
    </row>
    <row r="151">
      <c r="A151" s="23" t="inlineStr">
        <is>
          <t>3477 NE 13</t>
        </is>
      </c>
      <c r="B151" s="23" t="inlineStr">
        <is>
          <t>A11886848</t>
        </is>
      </c>
      <c r="C151" s="23" t="inlineStr">
        <is>
          <t>Incomplete Data</t>
        </is>
      </c>
    </row>
    <row r="152">
      <c r="A152" s="23" t="inlineStr">
        <is>
          <t>1123 N 17th Ave</t>
        </is>
      </c>
      <c r="B152" s="23" t="inlineStr">
        <is>
          <t>F10485271</t>
        </is>
      </c>
      <c r="C152" s="23" t="inlineStr">
        <is>
          <t>Incomplete Data</t>
        </is>
      </c>
    </row>
    <row r="153">
      <c r="A153" s="23" t="inlineStr">
        <is>
          <t>2500 NE 192nd St</t>
        </is>
      </c>
      <c r="B153" s="23" t="inlineStr">
        <is>
          <t>A11644212</t>
        </is>
      </c>
      <c r="C153" s="23" t="inlineStr">
        <is>
          <t>Incomplete Data</t>
        </is>
      </c>
    </row>
    <row r="154">
      <c r="A154" s="23" t="inlineStr">
        <is>
          <t>1556 NE 45 Street</t>
        </is>
      </c>
      <c r="B154" s="23" t="inlineStr">
        <is>
          <t>F10519748</t>
        </is>
      </c>
      <c r="C154" s="23" t="inlineStr">
        <is>
          <t>Incomplete Data</t>
        </is>
      </c>
    </row>
    <row r="155">
      <c r="A155" s="23" t="inlineStr">
        <is>
          <t>801 SW 10TH ST</t>
        </is>
      </c>
      <c r="B155" s="23" t="inlineStr">
        <is>
          <t>F10506513</t>
        </is>
      </c>
      <c r="C155" s="23" t="inlineStr">
        <is>
          <t>Incomplete Data</t>
        </is>
      </c>
    </row>
    <row r="156">
      <c r="A156" s="23" t="inlineStr">
        <is>
          <t>5210 NE 14th Way</t>
        </is>
      </c>
      <c r="B156" s="23" t="inlineStr">
        <is>
          <t>F10549633</t>
        </is>
      </c>
      <c r="C156" s="23" t="inlineStr">
        <is>
          <t>Incomplete Data</t>
        </is>
      </c>
    </row>
    <row r="157">
      <c r="A157" s="23" t="inlineStr">
        <is>
          <t>1110 S 29th Ave</t>
        </is>
      </c>
      <c r="B157" s="23" t="inlineStr">
        <is>
          <t>F10490715</t>
        </is>
      </c>
      <c r="C157" s="23" t="inlineStr">
        <is>
          <t>Incomplete Data</t>
        </is>
      </c>
    </row>
    <row r="158">
      <c r="A158" s="23" t="inlineStr">
        <is>
          <t>2826-2828 SW 32nd Ct</t>
        </is>
      </c>
      <c r="B158" s="23" t="inlineStr">
        <is>
          <t>F10546548</t>
        </is>
      </c>
      <c r="C158" s="23" t="inlineStr">
        <is>
          <t>Incomplete Data</t>
        </is>
      </c>
    </row>
    <row r="159">
      <c r="A159" s="23" t="inlineStr">
        <is>
          <t>2215 NW 33rd St</t>
        </is>
      </c>
      <c r="B159" s="23" t="inlineStr">
        <is>
          <t>A11844646</t>
        </is>
      </c>
      <c r="C159" s="23" t="inlineStr">
        <is>
          <t>Incomplete Data</t>
        </is>
      </c>
    </row>
    <row r="160">
      <c r="A160" s="23" t="inlineStr">
        <is>
          <t>260 NE 41ST ST</t>
        </is>
      </c>
      <c r="B160" s="23" t="inlineStr">
        <is>
          <t>F10521490</t>
        </is>
      </c>
      <c r="C160" s="23" t="inlineStr">
        <is>
          <t>Incomplete Data</t>
        </is>
      </c>
    </row>
    <row r="161">
      <c r="A161" s="23" t="inlineStr">
        <is>
          <t>2609 NW 9th Ave</t>
        </is>
      </c>
      <c r="B161" s="23" t="inlineStr">
        <is>
          <t>F10410104</t>
        </is>
      </c>
      <c r="C161" s="23" t="inlineStr">
        <is>
          <t>Incomplete Data</t>
        </is>
      </c>
    </row>
    <row r="162">
      <c r="A162" s="23" t="inlineStr">
        <is>
          <t>2617 NW 9th Ave</t>
        </is>
      </c>
      <c r="B162" s="23" t="inlineStr">
        <is>
          <t>F10410122</t>
        </is>
      </c>
      <c r="C162" s="23" t="inlineStr">
        <is>
          <t>Incomplete Data</t>
        </is>
      </c>
    </row>
    <row r="163">
      <c r="A163" s="23" t="inlineStr">
        <is>
          <t>2200 NE 36th St, #1-2</t>
        </is>
      </c>
      <c r="B163" s="23" t="inlineStr">
        <is>
          <t>F10486131</t>
        </is>
      </c>
      <c r="C163" s="23" t="inlineStr">
        <is>
          <t>Incomplete Data</t>
        </is>
      </c>
    </row>
    <row r="164">
      <c r="A164" s="23" t="inlineStr">
        <is>
          <t>271 SW 11th Ave</t>
        </is>
      </c>
      <c r="B164" s="23" t="inlineStr">
        <is>
          <t>F10543884</t>
        </is>
      </c>
      <c r="C164" s="23" t="inlineStr">
        <is>
          <t>Incomplete Data</t>
        </is>
      </c>
    </row>
    <row r="165">
      <c r="A165" s="23" t="inlineStr">
        <is>
          <t>626 NW 22nd Rd</t>
        </is>
      </c>
      <c r="B165" s="23" t="inlineStr">
        <is>
          <t>A11789128</t>
        </is>
      </c>
      <c r="C165" s="23" t="inlineStr">
        <is>
          <t>Incomplete Data</t>
        </is>
      </c>
    </row>
    <row r="166">
      <c r="A166" s="23" t="inlineStr">
        <is>
          <t>1547 W 26th Ct</t>
        </is>
      </c>
      <c r="B166" s="23" t="inlineStr">
        <is>
          <t>F10546035</t>
        </is>
      </c>
      <c r="C166" s="23" t="inlineStr">
        <is>
          <t>Incomplete Data</t>
        </is>
      </c>
    </row>
    <row r="167">
      <c r="A167" s="23" t="inlineStr">
        <is>
          <t>652 NW 31st St</t>
        </is>
      </c>
      <c r="B167" s="23" t="inlineStr">
        <is>
          <t>A11848171</t>
        </is>
      </c>
      <c r="C167" s="23" t="inlineStr">
        <is>
          <t>Incomplete Data</t>
        </is>
      </c>
    </row>
    <row r="168">
      <c r="A168" s="23" t="inlineStr">
        <is>
          <t>7230 NW 3rd St</t>
        </is>
      </c>
      <c r="B168" s="23" t="inlineStr">
        <is>
          <t>A11839962</t>
        </is>
      </c>
      <c r="C168" s="23" t="inlineStr">
        <is>
          <t>Incomplete Data</t>
        </is>
      </c>
    </row>
    <row r="169">
      <c r="A169" s="23" t="inlineStr">
        <is>
          <t>11530-32 NW 43rd St</t>
        </is>
      </c>
      <c r="B169" s="23" t="inlineStr">
        <is>
          <t>F10534388</t>
        </is>
      </c>
      <c r="C169" s="23" t="inlineStr">
        <is>
          <t>Incomplete Data</t>
        </is>
      </c>
    </row>
    <row r="170">
      <c r="A170" s="23" t="inlineStr">
        <is>
          <t>5250 SW 18th St</t>
        </is>
      </c>
      <c r="B170" s="23" t="inlineStr">
        <is>
          <t>F10505331</t>
        </is>
      </c>
      <c r="C170" s="23" t="inlineStr">
        <is>
          <t>Incomplete Data</t>
        </is>
      </c>
    </row>
    <row r="171">
      <c r="A171" s="23" t="inlineStr">
        <is>
          <t>18001 Collins Ave</t>
        </is>
      </c>
      <c r="B171" s="23" t="inlineStr">
        <is>
          <t>F10552123</t>
        </is>
      </c>
      <c r="C171" s="23" t="inlineStr">
        <is>
          <t>Incomplete Data</t>
        </is>
      </c>
    </row>
    <row r="172">
      <c r="A172" s="23" t="inlineStr">
        <is>
          <t>131 SW 14th Ct</t>
        </is>
      </c>
      <c r="B172" s="23" t="inlineStr">
        <is>
          <t>F10554146</t>
        </is>
      </c>
      <c r="C172" s="23" t="inlineStr">
        <is>
          <t>Incomplete Data</t>
        </is>
      </c>
    </row>
    <row r="173">
      <c r="A173" s="23" t="inlineStr">
        <is>
          <t>218 SW 1st Ct</t>
        </is>
      </c>
      <c r="B173" s="23" t="inlineStr">
        <is>
          <t>F10550885</t>
        </is>
      </c>
      <c r="C173" s="23" t="inlineStr">
        <is>
          <t>Incomplete Data</t>
        </is>
      </c>
    </row>
    <row r="174">
      <c r="A174" s="23" t="inlineStr">
        <is>
          <t>621 NE 28th St</t>
        </is>
      </c>
      <c r="B174" s="23" t="inlineStr">
        <is>
          <t>F10531668</t>
        </is>
      </c>
      <c r="C174" s="23" t="inlineStr">
        <is>
          <t>Incomplete Data</t>
        </is>
      </c>
    </row>
    <row r="175">
      <c r="A175" s="23" t="inlineStr">
        <is>
          <t>575 NW 41st St</t>
        </is>
      </c>
      <c r="B175" s="23" t="inlineStr">
        <is>
          <t>F10523145</t>
        </is>
      </c>
      <c r="C175" s="23" t="inlineStr">
        <is>
          <t>Incomplete Data</t>
        </is>
      </c>
    </row>
    <row r="176">
      <c r="A176" s="23" t="inlineStr">
        <is>
          <t>1637 NE 5th Ct</t>
        </is>
      </c>
      <c r="B176" s="23" t="inlineStr">
        <is>
          <t>F10534470</t>
        </is>
      </c>
      <c r="C176" s="23" t="inlineStr">
        <is>
          <t>Incomplete Data</t>
        </is>
      </c>
    </row>
    <row r="177">
      <c r="A177" s="23" t="inlineStr">
        <is>
          <t>1121 Bel Air Dr</t>
        </is>
      </c>
      <c r="B177" s="23" t="inlineStr">
        <is>
          <t>F10484606</t>
        </is>
      </c>
      <c r="C177" s="23" t="inlineStr">
        <is>
          <t>Incomplete Data</t>
        </is>
      </c>
    </row>
    <row r="178">
      <c r="A178" s="23" t="inlineStr">
        <is>
          <t>157 Curtiss Pkwy</t>
        </is>
      </c>
      <c r="B178" s="23" t="inlineStr">
        <is>
          <t>A11938461</t>
        </is>
      </c>
      <c r="C178" s="23" t="inlineStr">
        <is>
          <t>Incomplete Data</t>
        </is>
      </c>
    </row>
    <row r="179">
      <c r="A179" s="23" t="inlineStr">
        <is>
          <t>1922 Jefferson St</t>
        </is>
      </c>
      <c r="B179" s="23" t="inlineStr">
        <is>
          <t>F10435082</t>
        </is>
      </c>
      <c r="C179" s="23" t="inlineStr">
        <is>
          <t>Incomplete Data</t>
        </is>
      </c>
    </row>
    <row r="180">
      <c r="A180" s="23" t="inlineStr">
        <is>
          <t>1340 Peri St</t>
        </is>
      </c>
      <c r="B180" s="23" t="inlineStr">
        <is>
          <t>A11926112</t>
        </is>
      </c>
      <c r="C180" s="23" t="inlineStr">
        <is>
          <t>Incomplete Data</t>
        </is>
      </c>
    </row>
    <row r="181">
      <c r="A181" s="23" t="inlineStr">
        <is>
          <t>1026 NW 8th Ave</t>
        </is>
      </c>
      <c r="B181" s="23" t="inlineStr">
        <is>
          <t>F10504198</t>
        </is>
      </c>
      <c r="C181" s="23" t="inlineStr">
        <is>
          <t>Incomplete Data</t>
        </is>
      </c>
    </row>
    <row r="182">
      <c r="A182" s="23" t="inlineStr">
        <is>
          <t>305 Hibiscus Ave</t>
        </is>
      </c>
      <c r="B182" s="23" t="inlineStr">
        <is>
          <t>F10537838</t>
        </is>
      </c>
      <c r="C182" s="23" t="inlineStr">
        <is>
          <t>Incomplete Data</t>
        </is>
      </c>
    </row>
    <row r="183">
      <c r="A183" s="23" t="inlineStr">
        <is>
          <t>2540-2550 NE 10 Court Unit#1-2</t>
        </is>
      </c>
      <c r="B183" s="23" t="inlineStr">
        <is>
          <t>R11074632</t>
        </is>
      </c>
      <c r="C183" s="23" t="inlineStr">
        <is>
          <t>Incomplete Data</t>
        </is>
      </c>
    </row>
    <row r="184">
      <c r="A184" s="23" t="inlineStr">
        <is>
          <t>1128 NW 101st St</t>
        </is>
      </c>
      <c r="B184" s="23" t="inlineStr">
        <is>
          <t>A11963371</t>
        </is>
      </c>
      <c r="C184" s="23" t="inlineStr">
        <is>
          <t>Incomplete Data</t>
        </is>
      </c>
    </row>
    <row r="185">
      <c r="A185" s="23" t="inlineStr">
        <is>
          <t>2441 NW 104th St</t>
        </is>
      </c>
      <c r="B185" s="23" t="inlineStr">
        <is>
          <t>F10507199</t>
        </is>
      </c>
      <c r="C185" s="23" t="inlineStr">
        <is>
          <t>Incomplete Data</t>
        </is>
      </c>
    </row>
    <row r="186">
      <c r="A186" s="23" t="inlineStr">
        <is>
          <t>2821 NW 106th St</t>
        </is>
      </c>
      <c r="B186" s="23" t="inlineStr">
        <is>
          <t>F10556550</t>
        </is>
      </c>
      <c r="C186" s="23" t="inlineStr">
        <is>
          <t>Incomplete Data</t>
        </is>
      </c>
    </row>
    <row r="187">
      <c r="A187" s="23" t="inlineStr">
        <is>
          <t>1441 NW 10th</t>
        </is>
      </c>
      <c r="B187" s="23" t="inlineStr">
        <is>
          <t>A11940817</t>
        </is>
      </c>
      <c r="C187" s="23" t="inlineStr">
        <is>
          <t>Incomplete Data</t>
        </is>
      </c>
    </row>
    <row r="188">
      <c r="A188" s="23" t="inlineStr">
        <is>
          <t>524 NW 10th</t>
        </is>
      </c>
      <c r="B188" s="23" t="inlineStr">
        <is>
          <t>A11875188</t>
        </is>
      </c>
      <c r="C188" s="23" t="inlineStr">
        <is>
          <t>Incomplete Data</t>
        </is>
      </c>
    </row>
    <row r="189">
      <c r="A189" s="23" t="inlineStr">
        <is>
          <t>114 NW 10th Ave</t>
        </is>
      </c>
      <c r="B189" s="23" t="inlineStr">
        <is>
          <t>A11954929</t>
        </is>
      </c>
      <c r="C189" s="23" t="inlineStr">
        <is>
          <t>Incomplete Data</t>
        </is>
      </c>
    </row>
    <row r="190">
      <c r="A190" s="23" t="inlineStr">
        <is>
          <t>2608 NE 10th Ave</t>
        </is>
      </c>
      <c r="B190" s="23" t="inlineStr">
        <is>
          <t>F10550162</t>
        </is>
      </c>
      <c r="C190" s="23" t="inlineStr">
        <is>
          <t>Incomplete Data</t>
        </is>
      </c>
    </row>
    <row r="191">
      <c r="A191" s="23" t="inlineStr">
        <is>
          <t>2900 NW 10th Ave</t>
        </is>
      </c>
      <c r="B191" s="23" t="inlineStr">
        <is>
          <t>A11714184</t>
        </is>
      </c>
      <c r="C191" s="23" t="inlineStr">
        <is>
          <t>Incomplete Data</t>
        </is>
      </c>
    </row>
    <row r="192">
      <c r="A192" s="23" t="inlineStr">
        <is>
          <t>329 SW 10th Ave</t>
        </is>
      </c>
      <c r="B192" s="23" t="inlineStr">
        <is>
          <t>A11957275</t>
        </is>
      </c>
      <c r="C192" s="23" t="inlineStr">
        <is>
          <t>Incomplete Data</t>
        </is>
      </c>
    </row>
    <row r="193">
      <c r="A193" s="23" t="inlineStr">
        <is>
          <t>7961 SW 10th Ct</t>
        </is>
      </c>
      <c r="B193" s="23" t="inlineStr">
        <is>
          <t>F10551810</t>
        </is>
      </c>
      <c r="C193" s="23" t="inlineStr">
        <is>
          <t>Incomplete Data</t>
        </is>
      </c>
    </row>
    <row r="194">
      <c r="A194" s="23" t="inlineStr">
        <is>
          <t>141 NW 10th St</t>
        </is>
      </c>
      <c r="B194" s="23" t="inlineStr">
        <is>
          <t>F10555642</t>
        </is>
      </c>
      <c r="C194" s="23" t="inlineStr">
        <is>
          <t>Incomplete Data</t>
        </is>
      </c>
    </row>
    <row r="195">
      <c r="A195" s="23" t="inlineStr">
        <is>
          <t>7625 SW 10th St</t>
        </is>
      </c>
      <c r="B195" s="23" t="inlineStr">
        <is>
          <t>F10551742</t>
        </is>
      </c>
      <c r="C195" s="23" t="inlineStr">
        <is>
          <t>Incomplete Data</t>
        </is>
      </c>
    </row>
    <row r="196">
      <c r="A196" s="23" t="inlineStr">
        <is>
          <t>7931 SW 10th St</t>
        </is>
      </c>
      <c r="B196" s="23" t="inlineStr">
        <is>
          <t>F10551811</t>
        </is>
      </c>
      <c r="C196" s="23" t="inlineStr">
        <is>
          <t>Incomplete Data</t>
        </is>
      </c>
    </row>
    <row r="197">
      <c r="A197" s="23" t="inlineStr">
        <is>
          <t>7910 SW 10th St #1-3</t>
        </is>
      </c>
      <c r="B197" s="23" t="inlineStr">
        <is>
          <t>F10552035</t>
        </is>
      </c>
      <c r="C197" s="23" t="inlineStr">
        <is>
          <t>Incomplete Data</t>
        </is>
      </c>
    </row>
    <row r="198">
      <c r="A198" s="23" t="inlineStr">
        <is>
          <t>741 NW 10th Ter</t>
        </is>
      </c>
      <c r="B198" s="23" t="inlineStr">
        <is>
          <t>F10538005</t>
        </is>
      </c>
      <c r="C198" s="23" t="inlineStr">
        <is>
          <t>Incomplete Data</t>
        </is>
      </c>
    </row>
    <row r="199">
      <c r="A199" s="23" t="inlineStr">
        <is>
          <t>1768 NW 112th Ter</t>
        </is>
      </c>
      <c r="B199" s="23" t="inlineStr">
        <is>
          <t>F10529098</t>
        </is>
      </c>
      <c r="C199" s="23" t="inlineStr">
        <is>
          <t>Incomplete Data</t>
        </is>
      </c>
    </row>
    <row r="200">
      <c r="A200" s="23" t="inlineStr">
        <is>
          <t>11 SW 11th Ave</t>
        </is>
      </c>
      <c r="B200" s="23" t="inlineStr">
        <is>
          <t>F10519002</t>
        </is>
      </c>
      <c r="C200" s="23" t="inlineStr">
        <is>
          <t>Incomplete Data</t>
        </is>
      </c>
    </row>
    <row r="201">
      <c r="A201" s="23" t="inlineStr">
        <is>
          <t>221 SE 11th Ave</t>
        </is>
      </c>
      <c r="B201" s="23" t="inlineStr">
        <is>
          <t>F10543996</t>
        </is>
      </c>
      <c r="C201" s="23" t="inlineStr">
        <is>
          <t>Incomplete Data</t>
        </is>
      </c>
    </row>
    <row r="202">
      <c r="A202" s="23" t="inlineStr">
        <is>
          <t>109 SE 11th Avenue Unit#1-3</t>
        </is>
      </c>
      <c r="B202" s="23" t="inlineStr">
        <is>
          <t>R11128439</t>
        </is>
      </c>
      <c r="C202" s="23" t="inlineStr">
        <is>
          <t>Incomplete Data</t>
        </is>
      </c>
    </row>
    <row r="203">
      <c r="A203" s="23" t="inlineStr">
        <is>
          <t>2581 NE 11TH CT</t>
        </is>
      </c>
      <c r="B203" s="23" t="inlineStr">
        <is>
          <t>F10537001</t>
        </is>
      </c>
      <c r="C203" s="23" t="inlineStr">
        <is>
          <t>Incomplete Data</t>
        </is>
      </c>
    </row>
    <row r="204">
      <c r="A204" s="23" t="inlineStr">
        <is>
          <t>22 SW 11th St</t>
        </is>
      </c>
      <c r="B204" s="23" t="inlineStr">
        <is>
          <t>F10533252</t>
        </is>
      </c>
      <c r="C204" s="23" t="inlineStr">
        <is>
          <t>Incomplete Data</t>
        </is>
      </c>
    </row>
    <row r="205">
      <c r="A205" s="23" t="inlineStr">
        <is>
          <t>25 NW 11th St</t>
        </is>
      </c>
      <c r="B205" s="23" t="inlineStr">
        <is>
          <t>F10485855</t>
        </is>
      </c>
      <c r="C205" s="23" t="inlineStr">
        <is>
          <t>Incomplete Data</t>
        </is>
      </c>
    </row>
    <row r="206">
      <c r="A206" s="23" t="inlineStr">
        <is>
          <t>911 NW 12 ave</t>
        </is>
      </c>
      <c r="B206" s="23" t="inlineStr">
        <is>
          <t>F10541505</t>
        </is>
      </c>
      <c r="C206" s="23" t="inlineStr">
        <is>
          <t>Incomplete Data</t>
        </is>
      </c>
    </row>
    <row r="207">
      <c r="A207" s="23" t="inlineStr">
        <is>
          <t>555 NE 127th St</t>
        </is>
      </c>
      <c r="B207" s="23" t="inlineStr">
        <is>
          <t>A11898183</t>
        </is>
      </c>
      <c r="C207" s="23" t="inlineStr">
        <is>
          <t>Incomplete Data</t>
        </is>
      </c>
    </row>
    <row r="208">
      <c r="A208" s="23" t="inlineStr">
        <is>
          <t>24705 SW 129th Ave</t>
        </is>
      </c>
      <c r="B208" s="23" t="inlineStr">
        <is>
          <t>A11769426</t>
        </is>
      </c>
      <c r="C208" s="23" t="inlineStr">
        <is>
          <t>Incomplete Data</t>
        </is>
      </c>
    </row>
    <row r="209">
      <c r="A209" s="23" t="inlineStr">
        <is>
          <t>106 NW 12th Ave</t>
        </is>
      </c>
      <c r="B209" s="23" t="inlineStr">
        <is>
          <t>F10544408</t>
        </is>
      </c>
      <c r="C209" s="23" t="inlineStr">
        <is>
          <t>Incomplete Data</t>
        </is>
      </c>
    </row>
    <row r="210">
      <c r="A210" s="23" t="inlineStr">
        <is>
          <t>911 NE 12th Ave</t>
        </is>
      </c>
      <c r="B210" s="23" t="inlineStr">
        <is>
          <t>F10554905</t>
        </is>
      </c>
      <c r="C210" s="23" t="inlineStr">
        <is>
          <t>Incomplete Data</t>
        </is>
      </c>
    </row>
    <row r="211">
      <c r="A211" s="23" t="inlineStr">
        <is>
          <t>118 SW 12th Avenue</t>
        </is>
      </c>
      <c r="B211" s="23" t="inlineStr">
        <is>
          <t>R11165386</t>
        </is>
      </c>
      <c r="C211" s="23" t="inlineStr">
        <is>
          <t>Incomplete Data</t>
        </is>
      </c>
    </row>
    <row r="212">
      <c r="A212" s="23" t="inlineStr">
        <is>
          <t>225 NW 12th Ct</t>
        </is>
      </c>
      <c r="B212" s="23" t="inlineStr">
        <is>
          <t>F10526912</t>
        </is>
      </c>
      <c r="C212" s="23" t="inlineStr">
        <is>
          <t>Incomplete Data</t>
        </is>
      </c>
    </row>
    <row r="213">
      <c r="A213" s="23" t="inlineStr">
        <is>
          <t>229 NW 12th Ct</t>
        </is>
      </c>
      <c r="B213" s="23" t="inlineStr">
        <is>
          <t>F10527020</t>
        </is>
      </c>
      <c r="C213" s="23" t="inlineStr">
        <is>
          <t>Incomplete Data</t>
        </is>
      </c>
    </row>
    <row r="214">
      <c r="A214" s="23" t="inlineStr">
        <is>
          <t>233 NW 12th Ct</t>
        </is>
      </c>
      <c r="B214" s="23" t="inlineStr">
        <is>
          <t>F10527036</t>
        </is>
      </c>
      <c r="C214" s="23" t="inlineStr">
        <is>
          <t>Incomplete Data</t>
        </is>
      </c>
    </row>
    <row r="215">
      <c r="A215" s="23" t="inlineStr">
        <is>
          <t>237 NW 12th Ct</t>
        </is>
      </c>
      <c r="B215" s="23" t="inlineStr">
        <is>
          <t>F10527051</t>
        </is>
      </c>
      <c r="C215" s="23" t="inlineStr">
        <is>
          <t>Incomplete Data</t>
        </is>
      </c>
    </row>
    <row r="216">
      <c r="A216" s="23" t="inlineStr">
        <is>
          <t>1355 SW 12th St</t>
        </is>
      </c>
      <c r="B216" s="23" t="inlineStr">
        <is>
          <t>A11515405</t>
        </is>
      </c>
      <c r="C216" s="23" t="inlineStr">
        <is>
          <t>Incomplete Data</t>
        </is>
      </c>
    </row>
    <row r="217">
      <c r="A217" s="23" t="inlineStr">
        <is>
          <t>3301 SE 12th St</t>
        </is>
      </c>
      <c r="B217" s="23" t="inlineStr">
        <is>
          <t>F10509107</t>
        </is>
      </c>
      <c r="C217" s="23" t="inlineStr">
        <is>
          <t>Incomplete Data</t>
        </is>
      </c>
    </row>
    <row r="218">
      <c r="A218" s="23" t="inlineStr">
        <is>
          <t>11741 NE 13 Ave</t>
        </is>
      </c>
      <c r="B218" s="23" t="inlineStr">
        <is>
          <t>A11957545</t>
        </is>
      </c>
      <c r="C218" s="23" t="inlineStr">
        <is>
          <t>Incomplete Data</t>
        </is>
      </c>
    </row>
    <row r="219">
      <c r="A219" s="23" t="inlineStr">
        <is>
          <t>2721-2731 SW 13 Ave</t>
        </is>
      </c>
      <c r="B219" s="23" t="inlineStr">
        <is>
          <t>F10554455</t>
        </is>
      </c>
      <c r="C219" s="23" t="inlineStr">
        <is>
          <t>Incomplete Data</t>
        </is>
      </c>
    </row>
    <row r="220">
      <c r="A220" s="23" t="inlineStr">
        <is>
          <t>1426 NE 134th Rd</t>
        </is>
      </c>
      <c r="B220" s="23" t="inlineStr">
        <is>
          <t>F10544468</t>
        </is>
      </c>
      <c r="C220" s="23" t="inlineStr">
        <is>
          <t>Incomplete Data</t>
        </is>
      </c>
    </row>
    <row r="221">
      <c r="A221" s="23" t="inlineStr">
        <is>
          <t>306 NE 13th Ave</t>
        </is>
      </c>
      <c r="B221" s="23" t="inlineStr">
        <is>
          <t>F10549595</t>
        </is>
      </c>
      <c r="C221" s="23" t="inlineStr">
        <is>
          <t>Incomplete Data</t>
        </is>
      </c>
    </row>
    <row r="222">
      <c r="A222" s="23" t="inlineStr">
        <is>
          <t>4385 NE 13th Ave</t>
        </is>
      </c>
      <c r="B222" s="23" t="inlineStr">
        <is>
          <t>F10549032</t>
        </is>
      </c>
      <c r="C222" s="23" t="inlineStr">
        <is>
          <t>Incomplete Data</t>
        </is>
      </c>
    </row>
    <row r="223">
      <c r="A223" s="23" t="inlineStr">
        <is>
          <t>625 NE 13th Avenue</t>
        </is>
      </c>
      <c r="B223" s="23" t="inlineStr">
        <is>
          <t>R11113803</t>
        </is>
      </c>
      <c r="C223" s="23" t="inlineStr">
        <is>
          <t>Incomplete Data</t>
        </is>
      </c>
    </row>
    <row r="224">
      <c r="A224" s="23" t="inlineStr">
        <is>
          <t>739 NE 13th Ct</t>
        </is>
      </c>
      <c r="B224" s="23" t="inlineStr">
        <is>
          <t>F10546817</t>
        </is>
      </c>
      <c r="C224" s="23" t="inlineStr">
        <is>
          <t>Incomplete Data</t>
        </is>
      </c>
    </row>
    <row r="225">
      <c r="A225" s="23" t="inlineStr">
        <is>
          <t>24 SW 13th St</t>
        </is>
      </c>
      <c r="B225" s="23" t="inlineStr">
        <is>
          <t>F10493653</t>
        </is>
      </c>
      <c r="C225" s="23" t="inlineStr">
        <is>
          <t>Incomplete Data</t>
        </is>
      </c>
    </row>
    <row r="226">
      <c r="A226" s="23" t="inlineStr">
        <is>
          <t>510 NW 13th St</t>
        </is>
      </c>
      <c r="B226" s="23" t="inlineStr">
        <is>
          <t>F10551432</t>
        </is>
      </c>
      <c r="C226" s="23" t="inlineStr">
        <is>
          <t>Incomplete Data</t>
        </is>
      </c>
    </row>
    <row r="227">
      <c r="A227" s="23" t="inlineStr">
        <is>
          <t>700 NW 13th St</t>
        </is>
      </c>
      <c r="B227" s="23" t="inlineStr">
        <is>
          <t>F10550770</t>
        </is>
      </c>
      <c r="C227" s="23" t="inlineStr">
        <is>
          <t>Incomplete Data</t>
        </is>
      </c>
    </row>
    <row r="228">
      <c r="A228" s="23" t="inlineStr">
        <is>
          <t>1017 13th Street</t>
        </is>
      </c>
      <c r="B228" s="23" t="inlineStr">
        <is>
          <t>R11163329</t>
        </is>
      </c>
      <c r="C228" s="23" t="inlineStr">
        <is>
          <t>Incomplete Data</t>
        </is>
      </c>
    </row>
    <row r="229">
      <c r="A229" s="23" t="inlineStr">
        <is>
          <t>1555 NE 148th St</t>
        </is>
      </c>
      <c r="B229" s="23" t="inlineStr">
        <is>
          <t>F10541137</t>
        </is>
      </c>
      <c r="C229" s="23" t="inlineStr">
        <is>
          <t>Incomplete Data</t>
        </is>
      </c>
    </row>
    <row r="230">
      <c r="A230" s="23" t="inlineStr">
        <is>
          <t>1017 NE 14th Ave</t>
        </is>
      </c>
      <c r="B230" s="23" t="inlineStr">
        <is>
          <t>F10545095</t>
        </is>
      </c>
      <c r="C230" s="23" t="inlineStr">
        <is>
          <t>Incomplete Data</t>
        </is>
      </c>
    </row>
    <row r="231">
      <c r="A231" s="23" t="inlineStr">
        <is>
          <t>1123 NE 14th Ave</t>
        </is>
      </c>
      <c r="B231" s="23" t="inlineStr">
        <is>
          <t>F10552293</t>
        </is>
      </c>
      <c r="C231" s="23" t="inlineStr">
        <is>
          <t>Incomplete Data</t>
        </is>
      </c>
    </row>
    <row r="232">
      <c r="A232" s="23" t="inlineStr">
        <is>
          <t>2117 NE 14th Ave</t>
        </is>
      </c>
      <c r="B232" s="23" t="inlineStr">
        <is>
          <t>F10535255</t>
        </is>
      </c>
      <c r="C232" s="23" t="inlineStr">
        <is>
          <t>Incomplete Data</t>
        </is>
      </c>
    </row>
    <row r="233">
      <c r="A233" s="23" t="inlineStr">
        <is>
          <t>2225 NE 14th Ave</t>
        </is>
      </c>
      <c r="B233" s="23" t="inlineStr">
        <is>
          <t>F10545962</t>
        </is>
      </c>
      <c r="C233" s="23" t="inlineStr">
        <is>
          <t>Incomplete Data</t>
        </is>
      </c>
    </row>
    <row r="234">
      <c r="A234" s="23" t="inlineStr">
        <is>
          <t>930 N 14th Court</t>
        </is>
      </c>
      <c r="B234" s="23" t="inlineStr">
        <is>
          <t>R11013727</t>
        </is>
      </c>
      <c r="C234" s="23" t="inlineStr">
        <is>
          <t>Incomplete Data</t>
        </is>
      </c>
    </row>
    <row r="235">
      <c r="A235" s="23" t="inlineStr">
        <is>
          <t>1400 NE 14th St</t>
        </is>
      </c>
      <c r="B235" s="23" t="inlineStr">
        <is>
          <t>A11938759</t>
        </is>
      </c>
      <c r="C235" s="23" t="inlineStr">
        <is>
          <t>Incomplete Data</t>
        </is>
      </c>
    </row>
    <row r="236">
      <c r="A236" s="23" t="inlineStr">
        <is>
          <t>224 SW 14th St</t>
        </is>
      </c>
      <c r="B236" s="23" t="inlineStr">
        <is>
          <t>A11970780</t>
        </is>
      </c>
      <c r="C236" s="23" t="inlineStr">
        <is>
          <t>Incomplete Data</t>
        </is>
      </c>
    </row>
    <row r="237">
      <c r="A237" s="23" t="inlineStr">
        <is>
          <t>2610 NW 14th St</t>
        </is>
      </c>
      <c r="B237" s="23" t="inlineStr">
        <is>
          <t>F10529229</t>
        </is>
      </c>
      <c r="C237" s="23" t="inlineStr">
        <is>
          <t>Incomplete Data</t>
        </is>
      </c>
    </row>
    <row r="238">
      <c r="A238" s="23" t="inlineStr">
        <is>
          <t>825 SW 14th St</t>
        </is>
      </c>
      <c r="B238" s="23" t="inlineStr">
        <is>
          <t>F10486192</t>
        </is>
      </c>
      <c r="C238" s="23" t="inlineStr">
        <is>
          <t>Incomplete Data</t>
        </is>
      </c>
    </row>
    <row r="239">
      <c r="A239" s="23" t="inlineStr">
        <is>
          <t>230 SW 14th Street</t>
        </is>
      </c>
      <c r="B239" s="23" t="inlineStr">
        <is>
          <t>R11156345</t>
        </is>
      </c>
      <c r="C239" s="23" t="inlineStr">
        <is>
          <t>Incomplete Data</t>
        </is>
      </c>
    </row>
    <row r="240">
      <c r="A240" s="23" t="inlineStr">
        <is>
          <t>812 NE 15 Avenue</t>
        </is>
      </c>
      <c r="B240" s="23" t="inlineStr">
        <is>
          <t>F10550284</t>
        </is>
      </c>
      <c r="C240" s="23" t="inlineStr">
        <is>
          <t>Incomplete Data</t>
        </is>
      </c>
    </row>
    <row r="241">
      <c r="A241" s="23" t="inlineStr">
        <is>
          <t>453 NE 154th St</t>
        </is>
      </c>
      <c r="B241" s="23" t="inlineStr">
        <is>
          <t>F10518974</t>
        </is>
      </c>
      <c r="C241" s="23" t="inlineStr">
        <is>
          <t>Incomplete Data</t>
        </is>
      </c>
    </row>
    <row r="242">
      <c r="A242" s="23" t="inlineStr">
        <is>
          <t>477 NE 154th St</t>
        </is>
      </c>
      <c r="B242" s="23" t="inlineStr">
        <is>
          <t>F10503374</t>
        </is>
      </c>
      <c r="C242" s="23" t="inlineStr">
        <is>
          <t>Incomplete Data</t>
        </is>
      </c>
    </row>
    <row r="243">
      <c r="A243" s="23" t="inlineStr">
        <is>
          <t>5100 NE 15TH AV</t>
        </is>
      </c>
      <c r="B243" s="23" t="inlineStr">
        <is>
          <t>F10358446</t>
        </is>
      </c>
      <c r="C243" s="23" t="inlineStr">
        <is>
          <t>Incomplete Data</t>
        </is>
      </c>
    </row>
    <row r="244">
      <c r="A244" s="23" t="inlineStr">
        <is>
          <t>1116 NE 15th Ave</t>
        </is>
      </c>
      <c r="B244" s="23" t="inlineStr">
        <is>
          <t>A11969747</t>
        </is>
      </c>
      <c r="C244" s="23" t="inlineStr">
        <is>
          <t>Incomplete Data</t>
        </is>
      </c>
    </row>
    <row r="245">
      <c r="A245" s="23" t="inlineStr">
        <is>
          <t>4500 NE 15th Ave</t>
        </is>
      </c>
      <c r="B245" s="23" t="inlineStr">
        <is>
          <t>F10526562</t>
        </is>
      </c>
      <c r="C245" s="23" t="inlineStr">
        <is>
          <t>Incomplete Data</t>
        </is>
      </c>
    </row>
    <row r="246">
      <c r="A246" s="23" t="inlineStr">
        <is>
          <t>8201 NW 15th Ave</t>
        </is>
      </c>
      <c r="B246" s="23" t="inlineStr">
        <is>
          <t>A11950713</t>
        </is>
      </c>
      <c r="C246" s="23" t="inlineStr">
        <is>
          <t>Incomplete Data</t>
        </is>
      </c>
    </row>
    <row r="247">
      <c r="A247" s="23" t="inlineStr">
        <is>
          <t>1539-1541 NE 15th Avenue</t>
        </is>
      </c>
      <c r="B247" s="23" t="inlineStr">
        <is>
          <t>R11165088</t>
        </is>
      </c>
      <c r="C247" s="23" t="inlineStr">
        <is>
          <t>Incomplete Data</t>
        </is>
      </c>
    </row>
    <row r="248">
      <c r="A248" s="23" t="inlineStr">
        <is>
          <t>1321 15th St</t>
        </is>
      </c>
      <c r="B248" s="23" t="inlineStr">
        <is>
          <t>A11931154</t>
        </is>
      </c>
      <c r="C248" s="23" t="inlineStr">
        <is>
          <t>Incomplete Data</t>
        </is>
      </c>
    </row>
    <row r="249">
      <c r="A249" s="23" t="inlineStr">
        <is>
          <t>151 SW 15th St</t>
        </is>
      </c>
      <c r="B249" s="23" t="inlineStr">
        <is>
          <t>F10548213</t>
        </is>
      </c>
      <c r="C249" s="23" t="inlineStr">
        <is>
          <t>Incomplete Data</t>
        </is>
      </c>
    </row>
    <row r="250">
      <c r="A250" s="23" t="inlineStr">
        <is>
          <t>302 SW 15th St</t>
        </is>
      </c>
      <c r="B250" s="23" t="inlineStr">
        <is>
          <t>F10537314</t>
        </is>
      </c>
      <c r="C250" s="23" t="inlineStr">
        <is>
          <t>Incomplete Data</t>
        </is>
      </c>
    </row>
    <row r="251">
      <c r="A251" s="23" t="inlineStr">
        <is>
          <t>516 SW 15th St</t>
        </is>
      </c>
      <c r="B251" s="23" t="inlineStr">
        <is>
          <t>F10544251</t>
        </is>
      </c>
      <c r="C251" s="23" t="inlineStr">
        <is>
          <t>Incomplete Data</t>
        </is>
      </c>
    </row>
    <row r="252">
      <c r="A252" s="23" t="inlineStr">
        <is>
          <t>5631 NW 15th St</t>
        </is>
      </c>
      <c r="B252" s="23" t="inlineStr">
        <is>
          <t>F10499755</t>
        </is>
      </c>
      <c r="C252" s="23" t="inlineStr">
        <is>
          <t>Incomplete Data</t>
        </is>
      </c>
    </row>
    <row r="253">
      <c r="A253" s="23" t="inlineStr">
        <is>
          <t>707 NE 15th St</t>
        </is>
      </c>
      <c r="B253" s="23" t="inlineStr">
        <is>
          <t>F10554416</t>
        </is>
      </c>
      <c r="C253" s="23" t="inlineStr">
        <is>
          <t>Incomplete Data</t>
        </is>
      </c>
    </row>
    <row r="254">
      <c r="A254" s="23" t="inlineStr">
        <is>
          <t xml:space="preserve">180 W 15th Street </t>
        </is>
      </c>
      <c r="B254" s="23" t="inlineStr">
        <is>
          <t>R11161965</t>
        </is>
      </c>
      <c r="C254" s="23" t="inlineStr">
        <is>
          <t>Incomplete Data</t>
        </is>
      </c>
    </row>
    <row r="255">
      <c r="A255" s="23" t="inlineStr">
        <is>
          <t>151 NW 164th St</t>
        </is>
      </c>
      <c r="B255" s="23" t="inlineStr">
        <is>
          <t>A11934974</t>
        </is>
      </c>
      <c r="C255" s="23" t="inlineStr">
        <is>
          <t>Incomplete Data</t>
        </is>
      </c>
    </row>
    <row r="256">
      <c r="A256" s="23" t="inlineStr">
        <is>
          <t>1129 NE 16th Ave</t>
        </is>
      </c>
      <c r="B256" s="23" t="inlineStr">
        <is>
          <t>F10519209</t>
        </is>
      </c>
      <c r="C256" s="23" t="inlineStr">
        <is>
          <t>Incomplete Data</t>
        </is>
      </c>
    </row>
    <row r="257">
      <c r="A257" s="23" t="inlineStr">
        <is>
          <t>2500 NE 16th Ave</t>
        </is>
      </c>
      <c r="B257" s="23" t="inlineStr">
        <is>
          <t>F10549038</t>
        </is>
      </c>
      <c r="C257" s="23" t="inlineStr">
        <is>
          <t>Incomplete Data</t>
        </is>
      </c>
    </row>
    <row r="258">
      <c r="A258" s="23" t="inlineStr">
        <is>
          <t>13255 SW 16th Ct</t>
        </is>
      </c>
      <c r="B258" s="23" t="inlineStr">
        <is>
          <t>A11961761</t>
        </is>
      </c>
      <c r="C258" s="23" t="inlineStr">
        <is>
          <t>Incomplete Data</t>
        </is>
      </c>
    </row>
    <row r="259">
      <c r="A259" s="23" t="inlineStr">
        <is>
          <t>5870 NW 16th Pl</t>
        </is>
      </c>
      <c r="B259" s="23" t="inlineStr">
        <is>
          <t>F10545930</t>
        </is>
      </c>
      <c r="C259" s="23" t="inlineStr">
        <is>
          <t>Incomplete Data</t>
        </is>
      </c>
    </row>
    <row r="260">
      <c r="A260" s="23" t="inlineStr">
        <is>
          <t>909 SW 16th St</t>
        </is>
      </c>
      <c r="B260" s="23" t="inlineStr">
        <is>
          <t>F10554023</t>
        </is>
      </c>
      <c r="C260" s="23" t="inlineStr">
        <is>
          <t>Incomplete Data</t>
        </is>
      </c>
    </row>
    <row r="261">
      <c r="A261" s="23" t="inlineStr">
        <is>
          <t>130 W 16th Street Unit#A</t>
        </is>
      </c>
      <c r="B261" s="23" t="inlineStr">
        <is>
          <t>R11150438</t>
        </is>
      </c>
      <c r="C261" s="23" t="inlineStr">
        <is>
          <t>Incomplete Data</t>
        </is>
      </c>
    </row>
    <row r="262">
      <c r="A262" s="23" t="inlineStr">
        <is>
          <t>1621-1623 NE 16th Ter</t>
        </is>
      </c>
      <c r="B262" s="23" t="inlineStr">
        <is>
          <t>F10536146</t>
        </is>
      </c>
      <c r="C262" s="23" t="inlineStr">
        <is>
          <t>Incomplete Data</t>
        </is>
      </c>
    </row>
    <row r="263">
      <c r="A263" s="23" t="inlineStr">
        <is>
          <t>3440 NE 16th Terrace Unit#1-4</t>
        </is>
      </c>
      <c r="B263" s="23" t="inlineStr">
        <is>
          <t>R11161244</t>
        </is>
      </c>
      <c r="C263" s="23" t="inlineStr">
        <is>
          <t>Incomplete Data</t>
        </is>
      </c>
    </row>
    <row r="264">
      <c r="A264" s="23" t="inlineStr">
        <is>
          <t>2000 NE 17 Ct.</t>
        </is>
      </c>
      <c r="B264" s="23" t="inlineStr">
        <is>
          <t>F10538053</t>
        </is>
      </c>
      <c r="C264" s="23" t="inlineStr">
        <is>
          <t>Incomplete Data</t>
        </is>
      </c>
    </row>
    <row r="265">
      <c r="A265" s="23" t="inlineStr">
        <is>
          <t>5650-5652 NE 17 TERRACE, NE 17th Ter</t>
        </is>
      </c>
      <c r="B265" s="23" t="inlineStr">
        <is>
          <t>A11974407</t>
        </is>
      </c>
      <c r="C265" s="23" t="inlineStr">
        <is>
          <t>Incomplete Data</t>
        </is>
      </c>
    </row>
    <row r="266">
      <c r="A266" s="23" t="inlineStr">
        <is>
          <t>5660 NE 17th Ter</t>
        </is>
      </c>
      <c r="B266" s="23" t="inlineStr">
        <is>
          <t>F10546407</t>
        </is>
      </c>
      <c r="C266" s="23" t="inlineStr">
        <is>
          <t>Incomplete Data</t>
        </is>
      </c>
    </row>
    <row r="267">
      <c r="A267" s="23" t="inlineStr">
        <is>
          <t>5110 NE 18 Ave</t>
        </is>
      </c>
      <c r="B267" s="23" t="inlineStr">
        <is>
          <t>F10549227</t>
        </is>
      </c>
      <c r="C267" s="23" t="inlineStr">
        <is>
          <t>Incomplete Data</t>
        </is>
      </c>
    </row>
    <row r="268">
      <c r="A268" s="23" t="inlineStr">
        <is>
          <t>1145 NE 18th Ave</t>
        </is>
      </c>
      <c r="B268" s="23" t="inlineStr">
        <is>
          <t>F10551451</t>
        </is>
      </c>
      <c r="C268" s="23" t="inlineStr">
        <is>
          <t>Incomplete Data</t>
        </is>
      </c>
    </row>
    <row r="269">
      <c r="A269" s="23" t="inlineStr">
        <is>
          <t>1215 NE 18th Ave</t>
        </is>
      </c>
      <c r="B269" s="23" t="inlineStr">
        <is>
          <t>F10473166</t>
        </is>
      </c>
      <c r="C269" s="23" t="inlineStr">
        <is>
          <t>Incomplete Data</t>
        </is>
      </c>
    </row>
    <row r="270">
      <c r="A270" s="23" t="inlineStr">
        <is>
          <t>439-441 NW 18th Ave</t>
        </is>
      </c>
      <c r="B270" s="23" t="inlineStr">
        <is>
          <t>F10506797</t>
        </is>
      </c>
      <c r="C270" s="23" t="inlineStr">
        <is>
          <t>Incomplete Data</t>
        </is>
      </c>
    </row>
    <row r="271">
      <c r="A271" s="23" t="inlineStr">
        <is>
          <t>5901 NE 18th Ave</t>
        </is>
      </c>
      <c r="B271" s="23" t="inlineStr">
        <is>
          <t>A11968420</t>
        </is>
      </c>
      <c r="C271" s="23" t="inlineStr">
        <is>
          <t>Incomplete Data</t>
        </is>
      </c>
    </row>
    <row r="272">
      <c r="A272" s="23" t="inlineStr">
        <is>
          <t>5911 NE 18th Ave</t>
        </is>
      </c>
      <c r="B272" s="23" t="inlineStr">
        <is>
          <t>A11968431</t>
        </is>
      </c>
      <c r="C272" s="23" t="inlineStr">
        <is>
          <t>Incomplete Data</t>
        </is>
      </c>
    </row>
    <row r="273">
      <c r="A273" s="23" t="inlineStr">
        <is>
          <t>205 18th Avenue</t>
        </is>
      </c>
      <c r="B273" s="23" t="inlineStr">
        <is>
          <t>R11145839</t>
        </is>
      </c>
      <c r="C273" s="23" t="inlineStr">
        <is>
          <t>Incomplete Data</t>
        </is>
      </c>
    </row>
    <row r="274">
      <c r="A274" s="23" t="inlineStr">
        <is>
          <t>929 NE 18Th Ct #1-2</t>
        </is>
      </c>
      <c r="B274" s="23" t="inlineStr">
        <is>
          <t>F10531405</t>
        </is>
      </c>
      <c r="C274" s="23" t="inlineStr">
        <is>
          <t>Incomplete Data</t>
        </is>
      </c>
    </row>
    <row r="275">
      <c r="A275" s="23" t="inlineStr">
        <is>
          <t>117 SW 1st Ave</t>
        </is>
      </c>
      <c r="B275" s="23" t="inlineStr">
        <is>
          <t>F10540736</t>
        </is>
      </c>
      <c r="C275" s="23" t="inlineStr">
        <is>
          <t>Incomplete Data</t>
        </is>
      </c>
    </row>
    <row r="276">
      <c r="A276" s="23" t="inlineStr">
        <is>
          <t>321 SE 1st Ave</t>
        </is>
      </c>
      <c r="B276" s="23" t="inlineStr">
        <is>
          <t>F10486213</t>
        </is>
      </c>
      <c r="C276" s="23" t="inlineStr">
        <is>
          <t>Incomplete Data</t>
        </is>
      </c>
    </row>
    <row r="277">
      <c r="A277" s="23" t="inlineStr">
        <is>
          <t>331 NW 1st Avenue</t>
        </is>
      </c>
      <c r="B277" s="23" t="inlineStr">
        <is>
          <t>R11133584</t>
        </is>
      </c>
      <c r="C277" s="23" t="inlineStr">
        <is>
          <t>Incomplete Data</t>
        </is>
      </c>
    </row>
    <row r="278">
      <c r="A278" s="23" t="inlineStr">
        <is>
          <t>451 SE 1st Avenue Unit#A-B</t>
        </is>
      </c>
      <c r="B278" s="23" t="inlineStr">
        <is>
          <t>R11079060</t>
        </is>
      </c>
      <c r="C278" s="23" t="inlineStr">
        <is>
          <t>Incomplete Data</t>
        </is>
      </c>
    </row>
    <row r="279">
      <c r="A279" s="23" t="inlineStr">
        <is>
          <t>8111 NE 1st Avenue</t>
        </is>
      </c>
      <c r="B279" s="23" t="inlineStr">
        <is>
          <t>R11155403</t>
        </is>
      </c>
      <c r="C279" s="23" t="inlineStr">
        <is>
          <t>Incomplete Data</t>
        </is>
      </c>
    </row>
    <row r="280">
      <c r="A280" s="23" t="inlineStr">
        <is>
          <t>676 &amp; 119 SW 1st St</t>
        </is>
      </c>
      <c r="B280" s="23" t="inlineStr">
        <is>
          <t>A11883386</t>
        </is>
      </c>
      <c r="C280" s="23" t="inlineStr">
        <is>
          <t>Incomplete Data</t>
        </is>
      </c>
    </row>
    <row r="281">
      <c r="A281" s="23" t="inlineStr">
        <is>
          <t>313 SW 1st Ter</t>
        </is>
      </c>
      <c r="B281" s="23" t="inlineStr">
        <is>
          <t>F10556728</t>
        </is>
      </c>
      <c r="C281" s="23" t="inlineStr">
        <is>
          <t>Incomplete Data</t>
        </is>
      </c>
    </row>
    <row r="282">
      <c r="A282" s="23" t="inlineStr">
        <is>
          <t>14500 NE 2</t>
        </is>
      </c>
      <c r="B282" s="23" t="inlineStr">
        <is>
          <t>F10496862</t>
        </is>
      </c>
      <c r="C282" s="23" t="inlineStr">
        <is>
          <t>Incomplete Data</t>
        </is>
      </c>
    </row>
    <row r="283">
      <c r="A283" s="23" t="inlineStr">
        <is>
          <t>1620 NE 20th Ave</t>
        </is>
      </c>
      <c r="B283" s="23" t="inlineStr">
        <is>
          <t>F10546799</t>
        </is>
      </c>
      <c r="C283" s="23" t="inlineStr">
        <is>
          <t>Incomplete Data</t>
        </is>
      </c>
    </row>
    <row r="284">
      <c r="A284" s="23" t="inlineStr">
        <is>
          <t>2461 NE 20th Ave</t>
        </is>
      </c>
      <c r="B284" s="23" t="inlineStr">
        <is>
          <t>F10543452</t>
        </is>
      </c>
      <c r="C284" s="23" t="inlineStr">
        <is>
          <t>Incomplete Data</t>
        </is>
      </c>
    </row>
    <row r="285">
      <c r="A285" s="23" t="inlineStr">
        <is>
          <t>538 NW 20th Ave</t>
        </is>
      </c>
      <c r="B285" s="23" t="inlineStr">
        <is>
          <t>A11975934</t>
        </is>
      </c>
      <c r="C285" s="23" t="inlineStr">
        <is>
          <t>Incomplete Data</t>
        </is>
      </c>
    </row>
    <row r="286">
      <c r="A286" s="23" t="inlineStr">
        <is>
          <t>1451 NW 20th Ct</t>
        </is>
      </c>
      <c r="B286" s="23" t="inlineStr">
        <is>
          <t>F10545347</t>
        </is>
      </c>
      <c r="C286" s="23" t="inlineStr">
        <is>
          <t>Incomplete Data</t>
        </is>
      </c>
    </row>
    <row r="287">
      <c r="A287" s="23" t="inlineStr">
        <is>
          <t>1461 NW 20th St</t>
        </is>
      </c>
      <c r="B287" s="23" t="inlineStr">
        <is>
          <t>F10550772</t>
        </is>
      </c>
      <c r="C287" s="23" t="inlineStr">
        <is>
          <t>Incomplete Data</t>
        </is>
      </c>
    </row>
    <row r="288">
      <c r="A288" s="23" t="inlineStr">
        <is>
          <t>330 SW 20th St</t>
        </is>
      </c>
      <c r="B288" s="23" t="inlineStr">
        <is>
          <t>F10549182</t>
        </is>
      </c>
      <c r="C288" s="23" t="inlineStr">
        <is>
          <t>Incomplete Data</t>
        </is>
      </c>
    </row>
    <row r="289">
      <c r="A289" s="23" t="inlineStr">
        <is>
          <t>728 20th St</t>
        </is>
      </c>
      <c r="B289" s="23" t="inlineStr">
        <is>
          <t>F10537298</t>
        </is>
      </c>
      <c r="C289" s="23" t="inlineStr">
        <is>
          <t>Incomplete Data</t>
        </is>
      </c>
    </row>
    <row r="290">
      <c r="A290" s="23" t="inlineStr">
        <is>
          <t>805 20th Street Unit#A,B,C</t>
        </is>
      </c>
      <c r="B290" s="23" t="inlineStr">
        <is>
          <t>R11161477</t>
        </is>
      </c>
      <c r="C290" s="23" t="inlineStr">
        <is>
          <t>Incomplete Data</t>
        </is>
      </c>
    </row>
    <row r="291">
      <c r="A291" s="23" t="inlineStr">
        <is>
          <t>4213 NE 21st Ave</t>
        </is>
      </c>
      <c r="B291" s="23" t="inlineStr">
        <is>
          <t>F10551556</t>
        </is>
      </c>
      <c r="C291" s="23" t="inlineStr">
        <is>
          <t>Incomplete Data</t>
        </is>
      </c>
    </row>
    <row r="292">
      <c r="A292" s="23" t="inlineStr">
        <is>
          <t>452 SW 21st Road</t>
        </is>
      </c>
      <c r="B292" s="23" t="inlineStr">
        <is>
          <t>A11940455</t>
        </is>
      </c>
      <c r="C292" s="23" t="inlineStr">
        <is>
          <t>Incomplete Data</t>
        </is>
      </c>
    </row>
    <row r="293">
      <c r="A293" s="23" t="inlineStr">
        <is>
          <t>1631 SW 21st St</t>
        </is>
      </c>
      <c r="B293" s="23" t="inlineStr">
        <is>
          <t>A11963121</t>
        </is>
      </c>
      <c r="C293" s="23" t="inlineStr">
        <is>
          <t>Incomplete Data</t>
        </is>
      </c>
    </row>
    <row r="294">
      <c r="A294" s="23" t="inlineStr">
        <is>
          <t>731 21st Street Unit#1-2</t>
        </is>
      </c>
      <c r="B294" s="23" t="inlineStr">
        <is>
          <t>R11125680</t>
        </is>
      </c>
      <c r="C294" s="23" t="inlineStr">
        <is>
          <t>Incomplete Data</t>
        </is>
      </c>
    </row>
    <row r="295">
      <c r="A295" s="23" t="inlineStr">
        <is>
          <t>661 NW 21st Ter</t>
        </is>
      </c>
      <c r="B295" s="23" t="inlineStr">
        <is>
          <t>F10534867</t>
        </is>
      </c>
      <c r="C295" s="23" t="inlineStr">
        <is>
          <t>Incomplete Data</t>
        </is>
      </c>
    </row>
    <row r="296">
      <c r="A296" s="23" t="inlineStr">
        <is>
          <t>830 SE 22nd Avenue</t>
        </is>
      </c>
      <c r="B296" s="23" t="inlineStr">
        <is>
          <t>R11155058</t>
        </is>
      </c>
      <c r="C296" s="23" t="inlineStr">
        <is>
          <t>Incomplete Data</t>
        </is>
      </c>
    </row>
    <row r="297">
      <c r="A297" s="23" t="inlineStr">
        <is>
          <t>1211 NE 23rd Ave</t>
        </is>
      </c>
      <c r="B297" s="23" t="inlineStr">
        <is>
          <t>A11927330</t>
        </is>
      </c>
      <c r="C297" s="23" t="inlineStr">
        <is>
          <t>Incomplete Data</t>
        </is>
      </c>
    </row>
    <row r="298">
      <c r="A298" s="23" t="inlineStr">
        <is>
          <t>1923 N 23rd Ave</t>
        </is>
      </c>
      <c r="B298" s="23" t="inlineStr">
        <is>
          <t>F10552025</t>
        </is>
      </c>
      <c r="C298" s="23" t="inlineStr">
        <is>
          <t>Incomplete Data</t>
        </is>
      </c>
    </row>
    <row r="299">
      <c r="A299" s="23" t="inlineStr">
        <is>
          <t>3860 NE 23rd Ave</t>
        </is>
      </c>
      <c r="B299" s="23" t="inlineStr">
        <is>
          <t>F10532628</t>
        </is>
      </c>
      <c r="C299" s="23" t="inlineStr">
        <is>
          <t>Incomplete Data</t>
        </is>
      </c>
    </row>
    <row r="300">
      <c r="A300" s="23" t="inlineStr">
        <is>
          <t>708-710 NE 23rd Avenue</t>
        </is>
      </c>
      <c r="B300" s="23" t="inlineStr">
        <is>
          <t>R11162600</t>
        </is>
      </c>
      <c r="C300" s="23" t="inlineStr">
        <is>
          <t>Incomplete Data</t>
        </is>
      </c>
    </row>
    <row r="301">
      <c r="A301" s="23" t="inlineStr">
        <is>
          <t>1009 NE 23rd Dr</t>
        </is>
      </c>
      <c r="B301" s="23" t="inlineStr">
        <is>
          <t>F10554896</t>
        </is>
      </c>
      <c r="C301" s="23" t="inlineStr">
        <is>
          <t>Incomplete Data</t>
        </is>
      </c>
    </row>
    <row r="302">
      <c r="A302" s="23" t="inlineStr">
        <is>
          <t>413-415 SE 23rd St</t>
        </is>
      </c>
      <c r="B302" s="23" t="inlineStr">
        <is>
          <t>F10536230</t>
        </is>
      </c>
      <c r="C302" s="23" t="inlineStr">
        <is>
          <t>Incomplete Data</t>
        </is>
      </c>
    </row>
    <row r="303">
      <c r="A303" s="23" t="inlineStr">
        <is>
          <t>11919 SW 247 Ter</t>
        </is>
      </c>
      <c r="B303" s="23" t="inlineStr">
        <is>
          <t>A11946531</t>
        </is>
      </c>
      <c r="C303" s="23" t="inlineStr">
        <is>
          <t>Incomplete Data</t>
        </is>
      </c>
    </row>
    <row r="304">
      <c r="A304" s="23" t="inlineStr">
        <is>
          <t>136 N 24th Ave</t>
        </is>
      </c>
      <c r="B304" s="23" t="inlineStr">
        <is>
          <t>F10545417</t>
        </is>
      </c>
      <c r="C304" s="23" t="inlineStr">
        <is>
          <t>Incomplete Data</t>
        </is>
      </c>
    </row>
    <row r="305">
      <c r="A305" s="23" t="inlineStr">
        <is>
          <t>1028 NW 24th St</t>
        </is>
      </c>
      <c r="B305" s="23" t="inlineStr">
        <is>
          <t>F10551828</t>
        </is>
      </c>
      <c r="C305" s="23" t="inlineStr">
        <is>
          <t>Incomplete Data</t>
        </is>
      </c>
    </row>
    <row r="306">
      <c r="A306" s="23" t="inlineStr">
        <is>
          <t>2511 NW 24th St</t>
        </is>
      </c>
      <c r="B306" s="23" t="inlineStr">
        <is>
          <t>A11978408</t>
        </is>
      </c>
      <c r="C306" s="23" t="inlineStr">
        <is>
          <t>Incomplete Data</t>
        </is>
      </c>
    </row>
    <row r="307">
      <c r="A307" s="23" t="inlineStr">
        <is>
          <t>3461 SW 24th St</t>
        </is>
      </c>
      <c r="B307" s="23" t="inlineStr">
        <is>
          <t>F10554440</t>
        </is>
      </c>
      <c r="C307" s="23" t="inlineStr">
        <is>
          <t>Incomplete Data</t>
        </is>
      </c>
    </row>
    <row r="308">
      <c r="A308" s="23" t="inlineStr">
        <is>
          <t>1707 SW 24th Street Unit#1-2</t>
        </is>
      </c>
      <c r="B308" s="23" t="inlineStr">
        <is>
          <t>R11152552</t>
        </is>
      </c>
      <c r="C308" s="23" t="inlineStr">
        <is>
          <t>Incomplete Data</t>
        </is>
      </c>
    </row>
    <row r="309">
      <c r="A309" s="23" t="inlineStr">
        <is>
          <t>1840 SW 24th Street Unit#1-2</t>
        </is>
      </c>
      <c r="B309" s="23" t="inlineStr">
        <is>
          <t>R11152984</t>
        </is>
      </c>
      <c r="C309" s="23" t="inlineStr">
        <is>
          <t>Incomplete Data</t>
        </is>
      </c>
    </row>
    <row r="310">
      <c r="A310" s="23" t="inlineStr">
        <is>
          <t>1850 SW 24th Street Unit#1-2</t>
        </is>
      </c>
      <c r="B310" s="23" t="inlineStr">
        <is>
          <t>R11109179</t>
        </is>
      </c>
      <c r="C310" s="23" t="inlineStr">
        <is>
          <t>Incomplete Data</t>
        </is>
      </c>
    </row>
    <row r="311">
      <c r="A311" s="23" t="inlineStr">
        <is>
          <t>1976 NW 25th Ave</t>
        </is>
      </c>
      <c r="B311" s="23" t="inlineStr">
        <is>
          <t>A11810969</t>
        </is>
      </c>
      <c r="C311" s="23" t="inlineStr">
        <is>
          <t>Incomplete Data</t>
        </is>
      </c>
    </row>
    <row r="312">
      <c r="A312" s="23" t="inlineStr">
        <is>
          <t>1538 W 26th Ct</t>
        </is>
      </c>
      <c r="B312" s="23" t="inlineStr">
        <is>
          <t>A11972745</t>
        </is>
      </c>
      <c r="C312" s="23" t="inlineStr">
        <is>
          <t>Incomplete Data</t>
        </is>
      </c>
    </row>
    <row r="313">
      <c r="A313" s="23" t="inlineStr">
        <is>
          <t>1546 W 26th Ct</t>
        </is>
      </c>
      <c r="B313" s="23" t="inlineStr">
        <is>
          <t>A11972910</t>
        </is>
      </c>
      <c r="C313" s="23" t="inlineStr">
        <is>
          <t>Incomplete Data</t>
        </is>
      </c>
    </row>
    <row r="314">
      <c r="A314" s="23" t="inlineStr">
        <is>
          <t>1925 NE 26th St</t>
        </is>
      </c>
      <c r="B314" s="23" t="inlineStr">
        <is>
          <t>F10492130</t>
        </is>
      </c>
      <c r="C314" s="23" t="inlineStr">
        <is>
          <t>Incomplete Data</t>
        </is>
      </c>
    </row>
    <row r="315">
      <c r="A315" s="23" t="inlineStr">
        <is>
          <t>1051 NW 27th Ave</t>
        </is>
      </c>
      <c r="B315" s="23" t="inlineStr">
        <is>
          <t>A11904828</t>
        </is>
      </c>
      <c r="C315" s="23" t="inlineStr">
        <is>
          <t>Incomplete Data</t>
        </is>
      </c>
    </row>
    <row r="316">
      <c r="A316" s="23" t="inlineStr">
        <is>
          <t>49 E 27th St</t>
        </is>
      </c>
      <c r="B316" s="23" t="inlineStr">
        <is>
          <t>F10542611</t>
        </is>
      </c>
      <c r="C316" s="23" t="inlineStr">
        <is>
          <t>Incomplete Data</t>
        </is>
      </c>
    </row>
    <row r="317">
      <c r="A317" s="23" t="inlineStr">
        <is>
          <t>5701 SW 27th St</t>
        </is>
      </c>
      <c r="B317" s="23" t="inlineStr">
        <is>
          <t>A11961942</t>
        </is>
      </c>
      <c r="C317" s="23" t="inlineStr">
        <is>
          <t>Incomplete Data</t>
        </is>
      </c>
    </row>
    <row r="318">
      <c r="A318" s="23" t="inlineStr">
        <is>
          <t>602 NE 27th St, #1-2</t>
        </is>
      </c>
      <c r="B318" s="23" t="inlineStr">
        <is>
          <t>F10554221</t>
        </is>
      </c>
      <c r="C318" s="23" t="inlineStr">
        <is>
          <t>Incomplete Data</t>
        </is>
      </c>
    </row>
    <row r="319">
      <c r="A319" s="23" t="inlineStr">
        <is>
          <t>2735 NE 28 Court</t>
        </is>
      </c>
      <c r="B319" s="23" t="inlineStr">
        <is>
          <t>R11136219</t>
        </is>
      </c>
      <c r="C319" s="23" t="inlineStr">
        <is>
          <t>Incomplete Data</t>
        </is>
      </c>
    </row>
    <row r="320">
      <c r="A320" s="23" t="inlineStr">
        <is>
          <t>2168 NW 28 St</t>
        </is>
      </c>
      <c r="B320" s="23" t="inlineStr">
        <is>
          <t>F10549298</t>
        </is>
      </c>
      <c r="C320" s="23" t="inlineStr">
        <is>
          <t>Incomplete Data</t>
        </is>
      </c>
    </row>
    <row r="321">
      <c r="A321" s="23" t="inlineStr">
        <is>
          <t>1133 W 28th St</t>
        </is>
      </c>
      <c r="B321" s="23" t="inlineStr">
        <is>
          <t>F10542205</t>
        </is>
      </c>
      <c r="C321" s="23" t="inlineStr">
        <is>
          <t>Incomplete Data</t>
        </is>
      </c>
    </row>
    <row r="322">
      <c r="A322" s="23" t="inlineStr">
        <is>
          <t>804 SW 28th St</t>
        </is>
      </c>
      <c r="B322" s="23" t="inlineStr">
        <is>
          <t>F10548280</t>
        </is>
      </c>
      <c r="C322" s="23" t="inlineStr">
        <is>
          <t>Incomplete Data</t>
        </is>
      </c>
    </row>
    <row r="323">
      <c r="A323" s="23" t="inlineStr">
        <is>
          <t>624 NE 29th Dr</t>
        </is>
      </c>
      <c r="B323" s="23" t="inlineStr">
        <is>
          <t>F10531472</t>
        </is>
      </c>
      <c r="C323" s="23" t="inlineStr">
        <is>
          <t>Incomplete Data</t>
        </is>
      </c>
    </row>
    <row r="324">
      <c r="A324" s="23" t="inlineStr">
        <is>
          <t>3090 NW 29th St</t>
        </is>
      </c>
      <c r="B324" s="23" t="inlineStr">
        <is>
          <t>A11972584</t>
        </is>
      </c>
      <c r="C324" s="23" t="inlineStr">
        <is>
          <t>Incomplete Data</t>
        </is>
      </c>
    </row>
    <row r="325">
      <c r="A325" s="23" t="inlineStr">
        <is>
          <t>1390-1392 NW 29th Ter</t>
        </is>
      </c>
      <c r="B325" s="23" t="inlineStr">
        <is>
          <t>F10531207</t>
        </is>
      </c>
      <c r="C325" s="23" t="inlineStr">
        <is>
          <t>Incomplete Data</t>
        </is>
      </c>
    </row>
    <row r="326">
      <c r="A326" s="23" t="inlineStr">
        <is>
          <t>1412 NW 2nd Ave</t>
        </is>
      </c>
      <c r="B326" s="23" t="inlineStr">
        <is>
          <t>F10554362</t>
        </is>
      </c>
      <c r="C326" s="23" t="inlineStr">
        <is>
          <t>Incomplete Data</t>
        </is>
      </c>
    </row>
    <row r="327">
      <c r="A327" s="23" t="inlineStr">
        <is>
          <t>736 NW 2nd Ave</t>
        </is>
      </c>
      <c r="B327" s="23" t="inlineStr">
        <is>
          <t>F10546683</t>
        </is>
      </c>
      <c r="C327" s="23" t="inlineStr">
        <is>
          <t>Incomplete Data</t>
        </is>
      </c>
    </row>
    <row r="328">
      <c r="A328" s="23" t="inlineStr">
        <is>
          <t>1007 SE 2nd Ct</t>
        </is>
      </c>
      <c r="B328" s="23" t="inlineStr">
        <is>
          <t>F10545432</t>
        </is>
      </c>
      <c r="C328" s="23" t="inlineStr">
        <is>
          <t>Incomplete Data</t>
        </is>
      </c>
    </row>
    <row r="329">
      <c r="A329" s="23" t="inlineStr">
        <is>
          <t>1208 SW 2nd Ct</t>
        </is>
      </c>
      <c r="B329" s="23" t="inlineStr">
        <is>
          <t>F10512444</t>
        </is>
      </c>
      <c r="C329" s="23" t="inlineStr">
        <is>
          <t>Incomplete Data</t>
        </is>
      </c>
    </row>
    <row r="330">
      <c r="A330" s="23" t="inlineStr">
        <is>
          <t>211 SW 2nd Ct</t>
        </is>
      </c>
      <c r="B330" s="23" t="inlineStr">
        <is>
          <t>F10554735</t>
        </is>
      </c>
      <c r="C330" s="23" t="inlineStr">
        <is>
          <t>Incomplete Data</t>
        </is>
      </c>
    </row>
    <row r="331">
      <c r="A331" s="23" t="inlineStr">
        <is>
          <t>6801 NW 2nd Ct</t>
        </is>
      </c>
      <c r="B331" s="23" t="inlineStr">
        <is>
          <t>A11964327</t>
        </is>
      </c>
      <c r="C331" s="23" t="inlineStr">
        <is>
          <t>Incomplete Data</t>
        </is>
      </c>
    </row>
    <row r="332">
      <c r="A332" s="23" t="inlineStr">
        <is>
          <t>1068 SW 2nd St</t>
        </is>
      </c>
      <c r="B332" s="23" t="inlineStr">
        <is>
          <t>A11845596</t>
        </is>
      </c>
      <c r="C332" s="23" t="inlineStr">
        <is>
          <t>Incomplete Data</t>
        </is>
      </c>
    </row>
    <row r="333">
      <c r="A333" s="23" t="inlineStr">
        <is>
          <t>2651 SE 2nd St</t>
        </is>
      </c>
      <c r="B333" s="23" t="inlineStr">
        <is>
          <t>A11963905</t>
        </is>
      </c>
      <c r="C333" s="23" t="inlineStr">
        <is>
          <t>Incomplete Data</t>
        </is>
      </c>
    </row>
    <row r="334">
      <c r="A334" s="23" t="inlineStr">
        <is>
          <t>400 NE 2nd St</t>
        </is>
      </c>
      <c r="B334" s="23" t="inlineStr">
        <is>
          <t>F10555287</t>
        </is>
      </c>
      <c r="C334" s="23" t="inlineStr">
        <is>
          <t>Incomplete Data</t>
        </is>
      </c>
    </row>
    <row r="335">
      <c r="A335" s="23" t="inlineStr">
        <is>
          <t>767 SW 2nd St</t>
        </is>
      </c>
      <c r="B335" s="23" t="inlineStr">
        <is>
          <t>A11967153</t>
        </is>
      </c>
      <c r="C335" s="23" t="inlineStr">
        <is>
          <t>Incomplete Data</t>
        </is>
      </c>
    </row>
    <row r="336">
      <c r="A336" s="23" t="inlineStr">
        <is>
          <t>141-145 NE 30th Ct</t>
        </is>
      </c>
      <c r="B336" s="23" t="inlineStr">
        <is>
          <t>F10537435</t>
        </is>
      </c>
      <c r="C336" s="23" t="inlineStr">
        <is>
          <t>Incomplete Data</t>
        </is>
      </c>
    </row>
    <row r="337">
      <c r="A337" s="23" t="inlineStr">
        <is>
          <t>50 NE 30th Ct</t>
        </is>
      </c>
      <c r="B337" s="23" t="inlineStr">
        <is>
          <t>F10507753</t>
        </is>
      </c>
      <c r="C337" s="23" t="inlineStr">
        <is>
          <t>Incomplete Data</t>
        </is>
      </c>
    </row>
    <row r="338">
      <c r="A338" s="23" t="inlineStr">
        <is>
          <t>2740 NE 30th Pl</t>
        </is>
      </c>
      <c r="B338" s="23" t="inlineStr">
        <is>
          <t>F10550207</t>
        </is>
      </c>
      <c r="C338" s="23" t="inlineStr">
        <is>
          <t>Incomplete Data</t>
        </is>
      </c>
    </row>
    <row r="339">
      <c r="A339" s="23" t="inlineStr">
        <is>
          <t>1177 NW 30th St</t>
        </is>
      </c>
      <c r="B339" s="23" t="inlineStr">
        <is>
          <t>A11897237</t>
        </is>
      </c>
      <c r="C339" s="23" t="inlineStr">
        <is>
          <t>Incomplete Data</t>
        </is>
      </c>
    </row>
    <row r="340">
      <c r="A340" s="23" t="inlineStr">
        <is>
          <t>6109 SW 30th St</t>
        </is>
      </c>
      <c r="B340" s="23" t="inlineStr">
        <is>
          <t>F10555710</t>
        </is>
      </c>
      <c r="C340" s="23" t="inlineStr">
        <is>
          <t>Incomplete Data</t>
        </is>
      </c>
    </row>
    <row r="341">
      <c r="A341" s="23" t="inlineStr">
        <is>
          <t>1075 W 30th Street</t>
        </is>
      </c>
      <c r="B341" s="23" t="inlineStr">
        <is>
          <t>R11159830</t>
        </is>
      </c>
      <c r="C341" s="23" t="inlineStr">
        <is>
          <t>Incomplete Data</t>
        </is>
      </c>
    </row>
    <row r="342">
      <c r="A342" s="23" t="inlineStr">
        <is>
          <t>619 30th Street</t>
        </is>
      </c>
      <c r="B342" s="23" t="inlineStr">
        <is>
          <t>R11164590</t>
        </is>
      </c>
      <c r="C342" s="23" t="inlineStr">
        <is>
          <t>Incomplete Data</t>
        </is>
      </c>
    </row>
    <row r="343">
      <c r="A343" s="23" t="inlineStr">
        <is>
          <t>627 30th Street</t>
        </is>
      </c>
      <c r="B343" s="23" t="inlineStr">
        <is>
          <t>R11153262</t>
        </is>
      </c>
      <c r="C343" s="23" t="inlineStr">
        <is>
          <t>Incomplete Data</t>
        </is>
      </c>
    </row>
    <row r="344">
      <c r="A344" s="23" t="inlineStr">
        <is>
          <t>5200 NW 31st Ave 96 &amp;  98</t>
        </is>
      </c>
      <c r="B344" s="23" t="inlineStr">
        <is>
          <t>F10534530</t>
        </is>
      </c>
      <c r="C344" s="23" t="inlineStr">
        <is>
          <t>Incomplete Data</t>
        </is>
      </c>
    </row>
    <row r="345">
      <c r="A345" s="23" t="inlineStr">
        <is>
          <t>4040 NW 31st Terrace</t>
        </is>
      </c>
      <c r="B345" s="23" t="inlineStr">
        <is>
          <t>R11164243</t>
        </is>
      </c>
      <c r="C345" s="23" t="inlineStr">
        <is>
          <t>Incomplete Data</t>
        </is>
      </c>
    </row>
    <row r="346">
      <c r="A346" s="23" t="inlineStr">
        <is>
          <t>2732 NE 32 Street</t>
        </is>
      </c>
      <c r="B346" s="23" t="inlineStr">
        <is>
          <t>F10555367</t>
        </is>
      </c>
      <c r="C346" s="23" t="inlineStr">
        <is>
          <t>Incomplete Data</t>
        </is>
      </c>
    </row>
    <row r="347">
      <c r="A347" s="23" t="inlineStr">
        <is>
          <t>2620 SW 32nd Ave</t>
        </is>
      </c>
      <c r="B347" s="23" t="inlineStr">
        <is>
          <t>F10546860</t>
        </is>
      </c>
      <c r="C347" s="23" t="inlineStr">
        <is>
          <t>Incomplete Data</t>
        </is>
      </c>
    </row>
    <row r="348">
      <c r="A348" s="23" t="inlineStr">
        <is>
          <t>659 NE 32nd St</t>
        </is>
      </c>
      <c r="B348" s="23" t="inlineStr">
        <is>
          <t>F10553956</t>
        </is>
      </c>
      <c r="C348" s="23" t="inlineStr">
        <is>
          <t>Incomplete Data</t>
        </is>
      </c>
    </row>
    <row r="349">
      <c r="A349" s="23" t="inlineStr">
        <is>
          <t>2613-2615 NE 33rd Ave</t>
        </is>
      </c>
      <c r="B349" s="23" t="inlineStr">
        <is>
          <t>F10540264</t>
        </is>
      </c>
      <c r="C349" s="23" t="inlineStr">
        <is>
          <t>Incomplete Data</t>
        </is>
      </c>
    </row>
    <row r="350">
      <c r="A350" s="23" t="inlineStr">
        <is>
          <t>2713 NE 33rd Ave</t>
        </is>
      </c>
      <c r="B350" s="23" t="inlineStr">
        <is>
          <t>F10533092</t>
        </is>
      </c>
      <c r="C350" s="23" t="inlineStr">
        <is>
          <t>Incomplete Data</t>
        </is>
      </c>
    </row>
    <row r="351">
      <c r="A351" s="23" t="inlineStr">
        <is>
          <t>733 NW 33rd Ave</t>
        </is>
      </c>
      <c r="B351" s="23" t="inlineStr">
        <is>
          <t>A11963235</t>
        </is>
      </c>
      <c r="C351" s="23" t="inlineStr">
        <is>
          <t>Incomplete Data</t>
        </is>
      </c>
    </row>
    <row r="352">
      <c r="A352" s="23" t="inlineStr">
        <is>
          <t>883 NE 33rd St</t>
        </is>
      </c>
      <c r="B352" s="23" t="inlineStr">
        <is>
          <t>F10551717</t>
        </is>
      </c>
      <c r="C352" s="23" t="inlineStr">
        <is>
          <t>Incomplete Data</t>
        </is>
      </c>
    </row>
    <row r="353">
      <c r="A353" s="23" t="inlineStr">
        <is>
          <t>1632 NE 33rd St #1-2</t>
        </is>
      </c>
      <c r="B353" s="23" t="inlineStr">
        <is>
          <t>F10545810</t>
        </is>
      </c>
      <c r="C353" s="23" t="inlineStr">
        <is>
          <t>Incomplete Data</t>
        </is>
      </c>
    </row>
    <row r="354">
      <c r="A354" s="23" t="inlineStr">
        <is>
          <t>1340 W 33rd Street</t>
        </is>
      </c>
      <c r="B354" s="23" t="inlineStr">
        <is>
          <t>R11139042</t>
        </is>
      </c>
      <c r="C354" s="23" t="inlineStr">
        <is>
          <t>Incomplete Data</t>
        </is>
      </c>
    </row>
    <row r="355">
      <c r="A355" s="23" t="inlineStr">
        <is>
          <t>926 33rd Street</t>
        </is>
      </c>
      <c r="B355" s="23" t="inlineStr">
        <is>
          <t>R11159824</t>
        </is>
      </c>
      <c r="C355" s="23" t="inlineStr">
        <is>
          <t>Incomplete Data</t>
        </is>
      </c>
    </row>
    <row r="356">
      <c r="A356" s="23" t="inlineStr">
        <is>
          <t>1478 NE 34th Ct Units A-B</t>
        </is>
      </c>
      <c r="B356" s="23" t="inlineStr">
        <is>
          <t>F10554558</t>
        </is>
      </c>
      <c r="C356" s="23" t="inlineStr">
        <is>
          <t>Incomplete Data</t>
        </is>
      </c>
    </row>
    <row r="357">
      <c r="A357" s="23" t="inlineStr">
        <is>
          <t>1680 NE 34th Lane</t>
        </is>
      </c>
      <c r="B357" s="23" t="inlineStr">
        <is>
          <t>R11112168</t>
        </is>
      </c>
      <c r="C357" s="23" t="inlineStr">
        <is>
          <t>Incomplete Data</t>
        </is>
      </c>
    </row>
    <row r="358">
      <c r="A358" s="23" t="inlineStr">
        <is>
          <t>1085 NE 34th St</t>
        </is>
      </c>
      <c r="B358" s="23" t="inlineStr">
        <is>
          <t>F10552329</t>
        </is>
      </c>
      <c r="C358" s="23" t="inlineStr">
        <is>
          <t>Incomplete Data</t>
        </is>
      </c>
    </row>
    <row r="359">
      <c r="A359" s="23" t="inlineStr">
        <is>
          <t>560-564 NE 34th St</t>
        </is>
      </c>
      <c r="B359" s="23" t="inlineStr">
        <is>
          <t>F10555291</t>
        </is>
      </c>
      <c r="C359" s="23" t="inlineStr">
        <is>
          <t>Incomplete Data</t>
        </is>
      </c>
    </row>
    <row r="360">
      <c r="A360" s="23" t="inlineStr">
        <is>
          <t>675 NW 34th St</t>
        </is>
      </c>
      <c r="B360" s="23" t="inlineStr">
        <is>
          <t>F10483730</t>
        </is>
      </c>
      <c r="C360" s="23" t="inlineStr">
        <is>
          <t>Incomplete Data</t>
        </is>
      </c>
    </row>
    <row r="361">
      <c r="A361" s="23" t="inlineStr">
        <is>
          <t>773 NW 34th St</t>
        </is>
      </c>
      <c r="B361" s="23" t="inlineStr">
        <is>
          <t>F10529429</t>
        </is>
      </c>
      <c r="C361" s="23" t="inlineStr">
        <is>
          <t>Incomplete Data</t>
        </is>
      </c>
    </row>
    <row r="362">
      <c r="A362" s="23" t="inlineStr">
        <is>
          <t>112 W 34th Street Unit#1, 2</t>
        </is>
      </c>
      <c r="B362" s="23" t="inlineStr">
        <is>
          <t>R11165623</t>
        </is>
      </c>
      <c r="C362" s="23" t="inlineStr">
        <is>
          <t>Incomplete Data</t>
        </is>
      </c>
    </row>
    <row r="363">
      <c r="A363" s="23" t="inlineStr">
        <is>
          <t>182 W 34th Street Unit#1</t>
        </is>
      </c>
      <c r="B363" s="23" t="inlineStr">
        <is>
          <t>R11162472</t>
        </is>
      </c>
      <c r="C363" s="23" t="inlineStr">
        <is>
          <t>Incomplete Data</t>
        </is>
      </c>
    </row>
    <row r="364">
      <c r="A364" s="23" t="inlineStr">
        <is>
          <t>34 W 34th Street</t>
        </is>
      </c>
      <c r="B364" s="23" t="inlineStr">
        <is>
          <t>R11159639</t>
        </is>
      </c>
      <c r="C364" s="23" t="inlineStr">
        <is>
          <t>Incomplete Data</t>
        </is>
      </c>
    </row>
    <row r="365">
      <c r="A365" s="23" t="inlineStr">
        <is>
          <t>516-520 34th Street</t>
        </is>
      </c>
      <c r="B365" s="23" t="inlineStr">
        <is>
          <t>R11163137</t>
        </is>
      </c>
      <c r="C365" s="23" t="inlineStr">
        <is>
          <t>Incomplete Data</t>
        </is>
      </c>
    </row>
    <row r="366">
      <c r="A366" s="23" t="inlineStr">
        <is>
          <t>10201 NW 35th St</t>
        </is>
      </c>
      <c r="B366" s="23" t="inlineStr">
        <is>
          <t>F10548525</t>
        </is>
      </c>
      <c r="C366" s="23" t="inlineStr">
        <is>
          <t>Incomplete Data</t>
        </is>
      </c>
    </row>
    <row r="367">
      <c r="A367" s="23" t="inlineStr">
        <is>
          <t>1338 -1384 NE 35th St</t>
        </is>
      </c>
      <c r="B367" s="23" t="inlineStr">
        <is>
          <t>F10539142</t>
        </is>
      </c>
      <c r="C367" s="23" t="inlineStr">
        <is>
          <t>Incomplete Data</t>
        </is>
      </c>
    </row>
    <row r="368">
      <c r="A368" s="23" t="inlineStr">
        <is>
          <t>1245 W 35th Street</t>
        </is>
      </c>
      <c r="B368" s="23" t="inlineStr">
        <is>
          <t>R11157414</t>
        </is>
      </c>
      <c r="C368" s="23" t="inlineStr">
        <is>
          <t>Incomplete Data</t>
        </is>
      </c>
    </row>
    <row r="369">
      <c r="A369" s="23" t="inlineStr">
        <is>
          <t>270 NW 35th Street</t>
        </is>
      </c>
      <c r="B369" s="23" t="inlineStr">
        <is>
          <t>R11142644</t>
        </is>
      </c>
      <c r="C369" s="23" t="inlineStr">
        <is>
          <t>Incomplete Data</t>
        </is>
      </c>
    </row>
    <row r="370">
      <c r="A370" s="23" t="inlineStr">
        <is>
          <t>2210 NE 36th Street Unit#A&amp;B</t>
        </is>
      </c>
      <c r="B370" s="23" t="inlineStr">
        <is>
          <t>R11162542</t>
        </is>
      </c>
      <c r="C370" s="23" t="inlineStr">
        <is>
          <t>Incomplete Data</t>
        </is>
      </c>
    </row>
    <row r="371">
      <c r="A371" s="23" t="inlineStr">
        <is>
          <t>643 36th Street</t>
        </is>
      </c>
      <c r="B371" s="23" t="inlineStr">
        <is>
          <t>R11134339</t>
        </is>
      </c>
      <c r="C371" s="23" t="inlineStr">
        <is>
          <t>Incomplete Data</t>
        </is>
      </c>
    </row>
    <row r="372">
      <c r="A372" s="23" t="inlineStr">
        <is>
          <t>920 W 36th Street Unit#1</t>
        </is>
      </c>
      <c r="B372" s="23" t="inlineStr">
        <is>
          <t>R11169398</t>
        </is>
      </c>
      <c r="C372" s="23" t="inlineStr">
        <is>
          <t>Incomplete Data</t>
        </is>
      </c>
    </row>
    <row r="373">
      <c r="A373" s="23" t="inlineStr">
        <is>
          <t>940 W 36th Street Unit#1</t>
        </is>
      </c>
      <c r="B373" s="23" t="inlineStr">
        <is>
          <t>R11169387</t>
        </is>
      </c>
      <c r="C373" s="23" t="inlineStr">
        <is>
          <t>Incomplete Data</t>
        </is>
      </c>
    </row>
    <row r="374">
      <c r="A374" s="23" t="inlineStr">
        <is>
          <t>2248 NE 37th Street</t>
        </is>
      </c>
      <c r="B374" s="23" t="inlineStr">
        <is>
          <t>R11162540</t>
        </is>
      </c>
      <c r="C374" s="23" t="inlineStr">
        <is>
          <t>Incomplete Data</t>
        </is>
      </c>
    </row>
    <row r="375">
      <c r="A375" s="23" t="inlineStr">
        <is>
          <t>8704 NW 38th Dr</t>
        </is>
      </c>
      <c r="B375" s="23" t="inlineStr">
        <is>
          <t>A11961704</t>
        </is>
      </c>
      <c r="C375" s="23" t="inlineStr">
        <is>
          <t>Incomplete Data</t>
        </is>
      </c>
    </row>
    <row r="376">
      <c r="A376" s="23" t="inlineStr">
        <is>
          <t>6022 SW 39</t>
        </is>
      </c>
      <c r="B376" s="23" t="inlineStr">
        <is>
          <t>F10532247</t>
        </is>
      </c>
      <c r="C376" s="23" t="inlineStr">
        <is>
          <t>Incomplete Data</t>
        </is>
      </c>
    </row>
    <row r="377">
      <c r="A377" s="23" t="inlineStr">
        <is>
          <t>11410 NW 39TH ST</t>
        </is>
      </c>
      <c r="B377" s="23" t="inlineStr">
        <is>
          <t>F10481789</t>
        </is>
      </c>
      <c r="C377" s="23" t="inlineStr">
        <is>
          <t>Incomplete Data</t>
        </is>
      </c>
    </row>
    <row r="378">
      <c r="A378" s="23" t="inlineStr">
        <is>
          <t>815 W 39th St</t>
        </is>
      </c>
      <c r="B378" s="23" t="inlineStr">
        <is>
          <t>A11931087</t>
        </is>
      </c>
      <c r="C378" s="23" t="inlineStr">
        <is>
          <t>Incomplete Data</t>
        </is>
      </c>
    </row>
    <row r="379">
      <c r="A379" s="23" t="inlineStr">
        <is>
          <t>1010 NW 3rd Ave</t>
        </is>
      </c>
      <c r="B379" s="23" t="inlineStr">
        <is>
          <t>F10492602</t>
        </is>
      </c>
      <c r="C379" s="23" t="inlineStr">
        <is>
          <t>Incomplete Data</t>
        </is>
      </c>
    </row>
    <row r="380">
      <c r="A380" s="23" t="inlineStr">
        <is>
          <t>1202 NE 3rd Ave</t>
        </is>
      </c>
      <c r="B380" s="23" t="inlineStr">
        <is>
          <t>F10541362</t>
        </is>
      </c>
      <c r="C380" s="23" t="inlineStr">
        <is>
          <t>Incomplete Data</t>
        </is>
      </c>
    </row>
    <row r="381">
      <c r="A381" s="23" t="inlineStr">
        <is>
          <t>1444 NE 3rd Ave</t>
        </is>
      </c>
      <c r="B381" s="23" t="inlineStr">
        <is>
          <t>F10538784</t>
        </is>
      </c>
      <c r="C381" s="23" t="inlineStr">
        <is>
          <t>Incomplete Data</t>
        </is>
      </c>
    </row>
    <row r="382">
      <c r="A382" s="23" t="inlineStr">
        <is>
          <t>2825 SW 3rd Ave</t>
        </is>
      </c>
      <c r="B382" s="23" t="inlineStr">
        <is>
          <t>A11974831</t>
        </is>
      </c>
      <c r="C382" s="23" t="inlineStr">
        <is>
          <t>Incomplete Data</t>
        </is>
      </c>
    </row>
    <row r="383">
      <c r="A383" s="23" t="inlineStr">
        <is>
          <t>128 SW 3rd Avenue</t>
        </is>
      </c>
      <c r="B383" s="23" t="inlineStr">
        <is>
          <t>R11165334</t>
        </is>
      </c>
      <c r="C383" s="23" t="inlineStr">
        <is>
          <t>Incomplete Data</t>
        </is>
      </c>
    </row>
    <row r="384">
      <c r="A384" s="23" t="inlineStr">
        <is>
          <t>2227 NE 3rd Avenue Unit#1 &amp; 2</t>
        </is>
      </c>
      <c r="B384" s="23" t="inlineStr">
        <is>
          <t>R11138374</t>
        </is>
      </c>
      <c r="C384" s="23" t="inlineStr">
        <is>
          <t>Incomplete Data</t>
        </is>
      </c>
    </row>
    <row r="385">
      <c r="A385" s="23" t="inlineStr">
        <is>
          <t>1204 NW 3rd St</t>
        </is>
      </c>
      <c r="B385" s="23" t="inlineStr">
        <is>
          <t>F10542963</t>
        </is>
      </c>
      <c r="C385" s="23" t="inlineStr">
        <is>
          <t>Incomplete Data</t>
        </is>
      </c>
    </row>
    <row r="386">
      <c r="A386" s="23" t="inlineStr">
        <is>
          <t>29 NE 3rd St</t>
        </is>
      </c>
      <c r="B386" s="23" t="inlineStr">
        <is>
          <t>F10479498</t>
        </is>
      </c>
      <c r="C386" s="23" t="inlineStr">
        <is>
          <t>Incomplete Data</t>
        </is>
      </c>
    </row>
    <row r="387">
      <c r="A387" s="23" t="inlineStr">
        <is>
          <t>35 NE 3rd St</t>
        </is>
      </c>
      <c r="B387" s="23" t="inlineStr">
        <is>
          <t>F10479503</t>
        </is>
      </c>
      <c r="C387" s="23" t="inlineStr">
        <is>
          <t>Incomplete Data</t>
        </is>
      </c>
    </row>
    <row r="388">
      <c r="A388" s="23" t="inlineStr">
        <is>
          <t>5710 SW 3rd St</t>
        </is>
      </c>
      <c r="B388" s="23" t="inlineStr">
        <is>
          <t>A11974212</t>
        </is>
      </c>
      <c r="C388" s="23" t="inlineStr">
        <is>
          <t>Incomplete Data</t>
        </is>
      </c>
    </row>
    <row r="389">
      <c r="A389" s="23" t="inlineStr">
        <is>
          <t>304 SE 3rd Street</t>
        </is>
      </c>
      <c r="B389" s="23" t="inlineStr">
        <is>
          <t>R11157280</t>
        </is>
      </c>
      <c r="C389" s="23" t="inlineStr">
        <is>
          <t>Incomplete Data</t>
        </is>
      </c>
    </row>
    <row r="390">
      <c r="A390" s="23" t="inlineStr">
        <is>
          <t>3308 SE 3rd Street</t>
        </is>
      </c>
      <c r="B390" s="23" t="inlineStr">
        <is>
          <t>R11121635</t>
        </is>
      </c>
      <c r="C390" s="23" t="inlineStr">
        <is>
          <t>Incomplete Data</t>
        </is>
      </c>
    </row>
    <row r="391">
      <c r="A391" s="23" t="inlineStr">
        <is>
          <t>803 3rd Street</t>
        </is>
      </c>
      <c r="B391" s="23" t="inlineStr">
        <is>
          <t>R11140747</t>
        </is>
      </c>
      <c r="C391" s="23" t="inlineStr">
        <is>
          <t>Incomplete Data</t>
        </is>
      </c>
    </row>
    <row r="392">
      <c r="A392" s="23" t="inlineStr">
        <is>
          <t>203 SE 4 Avenue</t>
        </is>
      </c>
      <c r="B392" s="23" t="inlineStr">
        <is>
          <t>R11151014</t>
        </is>
      </c>
      <c r="C392" s="23" t="inlineStr">
        <is>
          <t>Incomplete Data</t>
        </is>
      </c>
    </row>
    <row r="393">
      <c r="A393" s="23" t="inlineStr">
        <is>
          <t>2131 NE 40th Ct</t>
        </is>
      </c>
      <c r="B393" s="23" t="inlineStr">
        <is>
          <t>F10548705</t>
        </is>
      </c>
      <c r="C393" s="23" t="inlineStr">
        <is>
          <t>Incomplete Data</t>
        </is>
      </c>
    </row>
    <row r="394">
      <c r="A394" s="23" t="inlineStr">
        <is>
          <t>280 NE 40th Ct</t>
        </is>
      </c>
      <c r="B394" s="23" t="inlineStr">
        <is>
          <t>F10550393</t>
        </is>
      </c>
      <c r="C394" s="23" t="inlineStr">
        <is>
          <t>Incomplete Data</t>
        </is>
      </c>
    </row>
    <row r="395">
      <c r="A395" s="23" t="inlineStr">
        <is>
          <t>210 -216 NE 40th St</t>
        </is>
      </c>
      <c r="B395" s="23" t="inlineStr">
        <is>
          <t>F10518254</t>
        </is>
      </c>
      <c r="C395" s="23" t="inlineStr">
        <is>
          <t>Incomplete Data</t>
        </is>
      </c>
    </row>
    <row r="396">
      <c r="A396" s="23" t="inlineStr">
        <is>
          <t>1461-1463 SW 40th Ter</t>
        </is>
      </c>
      <c r="B396" s="23" t="inlineStr">
        <is>
          <t>F10556241</t>
        </is>
      </c>
      <c r="C396" s="23" t="inlineStr">
        <is>
          <t>Incomplete Data</t>
        </is>
      </c>
    </row>
    <row r="397">
      <c r="A397" s="23" t="inlineStr">
        <is>
          <t>11500-11506 NW 43RD CT</t>
        </is>
      </c>
      <c r="B397" s="23" t="inlineStr">
        <is>
          <t>F10481787</t>
        </is>
      </c>
      <c r="C397" s="23" t="inlineStr">
        <is>
          <t>Incomplete Data</t>
        </is>
      </c>
    </row>
    <row r="398">
      <c r="A398" s="23" t="inlineStr">
        <is>
          <t>1571 NE 43rd Street</t>
        </is>
      </c>
      <c r="B398" s="23" t="inlineStr">
        <is>
          <t>R11118863</t>
        </is>
      </c>
      <c r="C398" s="23" t="inlineStr">
        <is>
          <t>Incomplete Data</t>
        </is>
      </c>
    </row>
    <row r="399">
      <c r="A399" s="23" t="inlineStr">
        <is>
          <t>7541 NW 44th   Ct</t>
        </is>
      </c>
      <c r="B399" s="23" t="inlineStr">
        <is>
          <t>F10540754</t>
        </is>
      </c>
      <c r="C399" s="23" t="inlineStr">
        <is>
          <t>Incomplete Data</t>
        </is>
      </c>
    </row>
    <row r="400">
      <c r="A400" s="23" t="inlineStr">
        <is>
          <t>11500 NW 44th St</t>
        </is>
      </c>
      <c r="B400" s="23" t="inlineStr">
        <is>
          <t>F10423070</t>
        </is>
      </c>
      <c r="C400" s="23" t="inlineStr">
        <is>
          <t>Incomplete Data</t>
        </is>
      </c>
    </row>
    <row r="401">
      <c r="A401" s="23" t="inlineStr">
        <is>
          <t>340-400 NE 44th St</t>
        </is>
      </c>
      <c r="B401" s="23" t="inlineStr">
        <is>
          <t>F10530820</t>
        </is>
      </c>
      <c r="C401" s="23" t="inlineStr">
        <is>
          <t>Incomplete Data</t>
        </is>
      </c>
    </row>
    <row r="402">
      <c r="A402" s="23" t="inlineStr">
        <is>
          <t>11430 NW 45th St</t>
        </is>
      </c>
      <c r="B402" s="23" t="inlineStr">
        <is>
          <t>F10543798</t>
        </is>
      </c>
      <c r="C402" s="23" t="inlineStr">
        <is>
          <t>Incomplete Data</t>
        </is>
      </c>
    </row>
    <row r="403">
      <c r="A403" s="23" t="inlineStr">
        <is>
          <t>11676-11690 NW 45th St</t>
        </is>
      </c>
      <c r="B403" s="23" t="inlineStr">
        <is>
          <t>F10499868</t>
        </is>
      </c>
      <c r="C403" s="23" t="inlineStr">
        <is>
          <t>Incomplete Data</t>
        </is>
      </c>
    </row>
    <row r="404">
      <c r="A404" s="23" t="inlineStr">
        <is>
          <t>501 45th Street Unit#1</t>
        </is>
      </c>
      <c r="B404" s="23" t="inlineStr">
        <is>
          <t>R11153980</t>
        </is>
      </c>
      <c r="C404" s="23" t="inlineStr">
        <is>
          <t>Incomplete Data</t>
        </is>
      </c>
    </row>
    <row r="405">
      <c r="A405" s="23" t="inlineStr">
        <is>
          <t>5920 SW 45TH WY</t>
        </is>
      </c>
      <c r="B405" s="23" t="inlineStr">
        <is>
          <t>A11908609</t>
        </is>
      </c>
      <c r="C405" s="23" t="inlineStr">
        <is>
          <t>Incomplete Data</t>
        </is>
      </c>
    </row>
    <row r="406">
      <c r="A406" s="23" t="inlineStr">
        <is>
          <t>55 NW 47th Street</t>
        </is>
      </c>
      <c r="B406" s="23" t="inlineStr">
        <is>
          <t>F10534203</t>
        </is>
      </c>
      <c r="C406" s="23" t="inlineStr">
        <is>
          <t>Incomplete Data</t>
        </is>
      </c>
    </row>
    <row r="407">
      <c r="A407" s="23" t="inlineStr">
        <is>
          <t>2901 NW 48th St</t>
        </is>
      </c>
      <c r="B407" s="23" t="inlineStr">
        <is>
          <t>F10555527</t>
        </is>
      </c>
      <c r="C407" s="23" t="inlineStr">
        <is>
          <t>Incomplete Data</t>
        </is>
      </c>
    </row>
    <row r="408">
      <c r="A408" s="23" t="inlineStr">
        <is>
          <t>2907 NW 48th St</t>
        </is>
      </c>
      <c r="B408" s="23" t="inlineStr">
        <is>
          <t>F10555533</t>
        </is>
      </c>
      <c r="C408" s="23" t="inlineStr">
        <is>
          <t>Incomplete Data</t>
        </is>
      </c>
    </row>
    <row r="409">
      <c r="A409" s="23" t="inlineStr">
        <is>
          <t>2917 NW 48th St</t>
        </is>
      </c>
      <c r="B409" s="23" t="inlineStr">
        <is>
          <t>F10555535</t>
        </is>
      </c>
      <c r="C409" s="23" t="inlineStr">
        <is>
          <t>Incomplete Data</t>
        </is>
      </c>
    </row>
    <row r="410">
      <c r="A410" s="23" t="inlineStr">
        <is>
          <t>2925 NW 48th St</t>
        </is>
      </c>
      <c r="B410" s="23" t="inlineStr">
        <is>
          <t>F10555536</t>
        </is>
      </c>
      <c r="C410" s="23" t="inlineStr">
        <is>
          <t>Incomplete Data</t>
        </is>
      </c>
    </row>
    <row r="411">
      <c r="A411" s="23" t="inlineStr">
        <is>
          <t>512 49th Street</t>
        </is>
      </c>
      <c r="B411" s="23" t="inlineStr">
        <is>
          <t>R11141973</t>
        </is>
      </c>
      <c r="C411" s="23" t="inlineStr">
        <is>
          <t>Incomplete Data</t>
        </is>
      </c>
    </row>
    <row r="412">
      <c r="A412" s="23" t="inlineStr">
        <is>
          <t>851 NW 4th Ave</t>
        </is>
      </c>
      <c r="B412" s="23" t="inlineStr">
        <is>
          <t>F10550811</t>
        </is>
      </c>
      <c r="C412" s="23" t="inlineStr">
        <is>
          <t>Incomplete Data</t>
        </is>
      </c>
    </row>
    <row r="413">
      <c r="A413" s="23" t="inlineStr">
        <is>
          <t>1126 NW 4th Avenue Unit#1-2</t>
        </is>
      </c>
      <c r="B413" s="23" t="inlineStr">
        <is>
          <t>R11147326</t>
        </is>
      </c>
      <c r="C413" s="23" t="inlineStr">
        <is>
          <t>Incomplete Data</t>
        </is>
      </c>
    </row>
    <row r="414">
      <c r="A414" s="23" t="inlineStr">
        <is>
          <t>126 NE 4th Avenue</t>
        </is>
      </c>
      <c r="B414" s="23" t="inlineStr">
        <is>
          <t>R11167906</t>
        </is>
      </c>
      <c r="C414" s="23" t="inlineStr">
        <is>
          <t>Incomplete Data</t>
        </is>
      </c>
    </row>
    <row r="415">
      <c r="A415" s="23" t="inlineStr">
        <is>
          <t>130 NE 4th Avenue</t>
        </is>
      </c>
      <c r="B415" s="23" t="inlineStr">
        <is>
          <t>R11032573</t>
        </is>
      </c>
      <c r="C415" s="23" t="inlineStr">
        <is>
          <t>Incomplete Data</t>
        </is>
      </c>
    </row>
    <row r="416">
      <c r="A416" s="23" t="inlineStr">
        <is>
          <t>144 NW 4th Avenue</t>
        </is>
      </c>
      <c r="B416" s="23" t="inlineStr">
        <is>
          <t>R11155258</t>
        </is>
      </c>
      <c r="C416" s="23" t="inlineStr">
        <is>
          <t>Incomplete Data</t>
        </is>
      </c>
    </row>
    <row r="417">
      <c r="A417" s="23" t="inlineStr">
        <is>
          <t>934 NW 4th Avenue Unit#1-4</t>
        </is>
      </c>
      <c r="B417" s="23" t="inlineStr">
        <is>
          <t>R11162050</t>
        </is>
      </c>
      <c r="C417" s="23" t="inlineStr">
        <is>
          <t>Incomplete Data</t>
        </is>
      </c>
    </row>
    <row r="418">
      <c r="A418" s="23" t="inlineStr">
        <is>
          <t>1640 NE 4th Pl</t>
        </is>
      </c>
      <c r="B418" s="23" t="inlineStr">
        <is>
          <t>F10538341</t>
        </is>
      </c>
      <c r="C418" s="23" t="inlineStr">
        <is>
          <t>Incomplete Data</t>
        </is>
      </c>
    </row>
    <row r="419">
      <c r="A419" s="23" t="inlineStr">
        <is>
          <t>1203 NW 4th St</t>
        </is>
      </c>
      <c r="B419" s="23" t="inlineStr">
        <is>
          <t>F10554098</t>
        </is>
      </c>
      <c r="C419" s="23" t="inlineStr">
        <is>
          <t>Incomplete Data</t>
        </is>
      </c>
    </row>
    <row r="420">
      <c r="A420" s="23" t="inlineStr">
        <is>
          <t>1334 SW 4th St</t>
        </is>
      </c>
      <c r="B420" s="23" t="inlineStr">
        <is>
          <t>A11908091</t>
        </is>
      </c>
      <c r="C420" s="23" t="inlineStr">
        <is>
          <t>Incomplete Data</t>
        </is>
      </c>
    </row>
    <row r="421">
      <c r="A421" s="23" t="inlineStr">
        <is>
          <t>569 SW 4th St</t>
        </is>
      </c>
      <c r="B421" s="23" t="inlineStr">
        <is>
          <t>A11801168</t>
        </is>
      </c>
      <c r="C421" s="23" t="inlineStr">
        <is>
          <t>Incomplete Data</t>
        </is>
      </c>
    </row>
    <row r="422">
      <c r="A422" s="23" t="inlineStr">
        <is>
          <t>404 NE 4TH ST #1-2</t>
        </is>
      </c>
      <c r="B422" s="23" t="inlineStr">
        <is>
          <t>F10526635</t>
        </is>
      </c>
      <c r="C422" s="23" t="inlineStr">
        <is>
          <t>Incomplete Data</t>
        </is>
      </c>
    </row>
    <row r="423">
      <c r="A423" s="23" t="inlineStr">
        <is>
          <t>1361 SE 4th Street</t>
        </is>
      </c>
      <c r="B423" s="23" t="inlineStr">
        <is>
          <t>R11135724</t>
        </is>
      </c>
      <c r="C423" s="23" t="inlineStr">
        <is>
          <t>Incomplete Data</t>
        </is>
      </c>
    </row>
    <row r="424">
      <c r="A424" s="23" t="inlineStr">
        <is>
          <t>1421 SE 4th Street</t>
        </is>
      </c>
      <c r="B424" s="23" t="inlineStr">
        <is>
          <t>R11137690</t>
        </is>
      </c>
      <c r="C424" s="23" t="inlineStr">
        <is>
          <t>Incomplete Data</t>
        </is>
      </c>
    </row>
    <row r="425">
      <c r="A425" s="23" t="inlineStr">
        <is>
          <t>7 NE 50th St</t>
        </is>
      </c>
      <c r="B425" s="23" t="inlineStr">
        <is>
          <t>A11961459</t>
        </is>
      </c>
      <c r="C425" s="23" t="inlineStr">
        <is>
          <t>Incomplete Data</t>
        </is>
      </c>
    </row>
    <row r="426">
      <c r="A426" s="23" t="inlineStr">
        <is>
          <t>1631-1633 NE 51 Street</t>
        </is>
      </c>
      <c r="B426" s="23" t="inlineStr">
        <is>
          <t>F10544680</t>
        </is>
      </c>
      <c r="C426" s="23" t="inlineStr">
        <is>
          <t>Incomplete Data</t>
        </is>
      </c>
    </row>
    <row r="427">
      <c r="A427" s="23" t="inlineStr">
        <is>
          <t>1518-1520 NE 51st St</t>
        </is>
      </c>
      <c r="B427" s="23" t="inlineStr">
        <is>
          <t>F10548624</t>
        </is>
      </c>
      <c r="C427" s="23" t="inlineStr">
        <is>
          <t>Incomplete Data</t>
        </is>
      </c>
    </row>
    <row r="428">
      <c r="A428" s="23" t="inlineStr">
        <is>
          <t>4065 SW 51st St</t>
        </is>
      </c>
      <c r="B428" s="23" t="inlineStr">
        <is>
          <t>F10544987</t>
        </is>
      </c>
      <c r="C428" s="23" t="inlineStr">
        <is>
          <t>Incomplete Data</t>
        </is>
      </c>
    </row>
    <row r="429">
      <c r="A429" s="23" t="inlineStr">
        <is>
          <t>1856 NW 52nd Ave</t>
        </is>
      </c>
      <c r="B429" s="23" t="inlineStr">
        <is>
          <t>F10551813</t>
        </is>
      </c>
      <c r="C429" s="23" t="inlineStr">
        <is>
          <t>Incomplete Data</t>
        </is>
      </c>
    </row>
    <row r="430">
      <c r="A430" s="23" t="inlineStr">
        <is>
          <t>615 52nd Street</t>
        </is>
      </c>
      <c r="B430" s="23" t="inlineStr">
        <is>
          <t>R11164698</t>
        </is>
      </c>
      <c r="C430" s="23" t="inlineStr">
        <is>
          <t>Incomplete Data</t>
        </is>
      </c>
    </row>
    <row r="431">
      <c r="A431" s="23" t="inlineStr">
        <is>
          <t>35 NE 53rd St</t>
        </is>
      </c>
      <c r="B431" s="23" t="inlineStr">
        <is>
          <t>F10545112</t>
        </is>
      </c>
      <c r="C431" s="23" t="inlineStr">
        <is>
          <t>Incomplete Data</t>
        </is>
      </c>
    </row>
    <row r="432">
      <c r="A432" s="23" t="inlineStr">
        <is>
          <t>1425 NE 55th St</t>
        </is>
      </c>
      <c r="B432" s="23" t="inlineStr">
        <is>
          <t>F10442160</t>
        </is>
      </c>
      <c r="C432" s="23" t="inlineStr">
        <is>
          <t>Incomplete Data</t>
        </is>
      </c>
    </row>
    <row r="433">
      <c r="A433" s="23" t="inlineStr">
        <is>
          <t>1641 NE 55th St</t>
        </is>
      </c>
      <c r="B433" s="23" t="inlineStr">
        <is>
          <t>F10555791</t>
        </is>
      </c>
      <c r="C433" s="23" t="inlineStr">
        <is>
          <t>Incomplete Data</t>
        </is>
      </c>
    </row>
    <row r="434">
      <c r="A434" s="23" t="inlineStr">
        <is>
          <t>1701 NE 55TH ST</t>
        </is>
      </c>
      <c r="B434" s="23" t="inlineStr">
        <is>
          <t>F10546734</t>
        </is>
      </c>
      <c r="C434" s="23" t="inlineStr">
        <is>
          <t>Incomplete Data</t>
        </is>
      </c>
    </row>
    <row r="435">
      <c r="A435" s="23" t="inlineStr">
        <is>
          <t>355 NE 55th Terrace</t>
        </is>
      </c>
      <c r="B435" s="23" t="inlineStr">
        <is>
          <t>R11129745</t>
        </is>
      </c>
      <c r="C435" s="23" t="inlineStr">
        <is>
          <t>Incomplete Data</t>
        </is>
      </c>
    </row>
    <row r="436">
      <c r="A436" s="23" t="inlineStr">
        <is>
          <t>1610-1612 NE 56th St</t>
        </is>
      </c>
      <c r="B436" s="23" t="inlineStr">
        <is>
          <t>F10550310</t>
        </is>
      </c>
      <c r="C436" s="23" t="inlineStr">
        <is>
          <t>Incomplete Data</t>
        </is>
      </c>
    </row>
    <row r="437">
      <c r="A437" s="23" t="inlineStr">
        <is>
          <t>1681 NE 56th St</t>
        </is>
      </c>
      <c r="B437" s="23" t="inlineStr">
        <is>
          <t>F10516197</t>
        </is>
      </c>
      <c r="C437" s="23" t="inlineStr">
        <is>
          <t>Incomplete Data</t>
        </is>
      </c>
    </row>
    <row r="438">
      <c r="A438" s="23" t="inlineStr">
        <is>
          <t>540 NE 58th St</t>
        </is>
      </c>
      <c r="B438" s="23" t="inlineStr">
        <is>
          <t>F10546121</t>
        </is>
      </c>
      <c r="C438" s="23" t="inlineStr">
        <is>
          <t>Incomplete Data</t>
        </is>
      </c>
    </row>
    <row r="439">
      <c r="A439" s="23" t="inlineStr">
        <is>
          <t>1500 NW 58th Terrace #1-3</t>
        </is>
      </c>
      <c r="B439" s="23" t="inlineStr">
        <is>
          <t>F10548686</t>
        </is>
      </c>
      <c r="C439" s="23" t="inlineStr">
        <is>
          <t>Incomplete Data</t>
        </is>
      </c>
    </row>
    <row r="440">
      <c r="A440" s="23" t="inlineStr">
        <is>
          <t>35 NE 59th Street</t>
        </is>
      </c>
      <c r="B440" s="23" t="inlineStr">
        <is>
          <t>R11078577</t>
        </is>
      </c>
      <c r="C440" s="23" t="inlineStr">
        <is>
          <t>Incomplete Data</t>
        </is>
      </c>
    </row>
    <row r="441">
      <c r="A441" s="23" t="inlineStr">
        <is>
          <t>1312 NE 5th Ave</t>
        </is>
      </c>
      <c r="B441" s="23" t="inlineStr">
        <is>
          <t>F10545281</t>
        </is>
      </c>
      <c r="C441" s="23" t="inlineStr">
        <is>
          <t>Incomplete Data</t>
        </is>
      </c>
    </row>
    <row r="442">
      <c r="A442" s="23" t="inlineStr">
        <is>
          <t>3312 NW 5th Ave</t>
        </is>
      </c>
      <c r="B442" s="23" t="inlineStr">
        <is>
          <t>F10444275</t>
        </is>
      </c>
      <c r="C442" s="23" t="inlineStr">
        <is>
          <t>Incomplete Data</t>
        </is>
      </c>
    </row>
    <row r="443">
      <c r="A443" s="23" t="inlineStr">
        <is>
          <t>4331 NE 5th Ave</t>
        </is>
      </c>
      <c r="B443" s="23" t="inlineStr">
        <is>
          <t>F10555746</t>
        </is>
      </c>
      <c r="C443" s="23" t="inlineStr">
        <is>
          <t>Incomplete Data</t>
        </is>
      </c>
    </row>
    <row r="444">
      <c r="A444" s="23" t="inlineStr">
        <is>
          <t>528 SW 5th Ave</t>
        </is>
      </c>
      <c r="B444" s="23" t="inlineStr">
        <is>
          <t>F10538112</t>
        </is>
      </c>
      <c r="C444" s="23" t="inlineStr">
        <is>
          <t>Incomplete Data</t>
        </is>
      </c>
    </row>
    <row r="445">
      <c r="A445" s="23" t="inlineStr">
        <is>
          <t>5631 NW 5th Ct</t>
        </is>
      </c>
      <c r="B445" s="23" t="inlineStr">
        <is>
          <t>A11932302</t>
        </is>
      </c>
      <c r="C445" s="23" t="inlineStr">
        <is>
          <t>Incomplete Data</t>
        </is>
      </c>
    </row>
    <row r="446">
      <c r="A446" s="23" t="inlineStr">
        <is>
          <t>1944 NE 5th St</t>
        </is>
      </c>
      <c r="B446" s="23" t="inlineStr">
        <is>
          <t>F10488055</t>
        </is>
      </c>
      <c r="C446" s="23" t="inlineStr">
        <is>
          <t>Incomplete Data</t>
        </is>
      </c>
    </row>
    <row r="447">
      <c r="A447" s="23" t="inlineStr">
        <is>
          <t>693 SW 5th St</t>
        </is>
      </c>
      <c r="B447" s="23" t="inlineStr">
        <is>
          <t>F10556675</t>
        </is>
      </c>
      <c r="C447" s="23" t="inlineStr">
        <is>
          <t>Incomplete Data</t>
        </is>
      </c>
    </row>
    <row r="448">
      <c r="A448" s="23" t="inlineStr">
        <is>
          <t>3311 SE 6 Street</t>
        </is>
      </c>
      <c r="B448" s="23" t="inlineStr">
        <is>
          <t>R11123529</t>
        </is>
      </c>
      <c r="C448" s="23" t="inlineStr">
        <is>
          <t>Incomplete Data</t>
        </is>
      </c>
    </row>
    <row r="449">
      <c r="A449" s="23" t="inlineStr">
        <is>
          <t>607 SW 6 Street</t>
        </is>
      </c>
      <c r="B449" s="23" t="inlineStr">
        <is>
          <t>R11094716</t>
        </is>
      </c>
      <c r="C449" s="23" t="inlineStr">
        <is>
          <t>Incomplete Data</t>
        </is>
      </c>
    </row>
    <row r="450">
      <c r="A450" s="23" t="inlineStr">
        <is>
          <t>1404 - 1406 NW 60th St</t>
        </is>
      </c>
      <c r="B450" s="23" t="inlineStr">
        <is>
          <t>A11969042</t>
        </is>
      </c>
      <c r="C450" s="23" t="inlineStr">
        <is>
          <t>Incomplete Data</t>
        </is>
      </c>
    </row>
    <row r="451">
      <c r="A451" s="23" t="inlineStr">
        <is>
          <t>631 NE 60th St</t>
        </is>
      </c>
      <c r="B451" s="23" t="inlineStr">
        <is>
          <t>A11976011</t>
        </is>
      </c>
      <c r="C451" s="23" t="inlineStr">
        <is>
          <t>Incomplete Data</t>
        </is>
      </c>
    </row>
    <row r="452">
      <c r="A452" s="23" t="inlineStr">
        <is>
          <t>3691 SW 60th Ter</t>
        </is>
      </c>
      <c r="B452" s="23" t="inlineStr">
        <is>
          <t>A11912555</t>
        </is>
      </c>
      <c r="C452" s="23" t="inlineStr">
        <is>
          <t>Incomplete Data</t>
        </is>
      </c>
    </row>
    <row r="453">
      <c r="A453" s="23" t="inlineStr">
        <is>
          <t>473 NE 61st St</t>
        </is>
      </c>
      <c r="B453" s="23" t="inlineStr">
        <is>
          <t>A11961470</t>
        </is>
      </c>
      <c r="C453" s="23" t="inlineStr">
        <is>
          <t>Incomplete Data</t>
        </is>
      </c>
    </row>
    <row r="454">
      <c r="A454" s="23" t="inlineStr">
        <is>
          <t>1601 NW 62nd Ter</t>
        </is>
      </c>
      <c r="B454" s="23" t="inlineStr">
        <is>
          <t>F10514104</t>
        </is>
      </c>
      <c r="C454" s="23" t="inlineStr">
        <is>
          <t>Incomplete Data</t>
        </is>
      </c>
    </row>
    <row r="455">
      <c r="A455" s="23" t="inlineStr">
        <is>
          <t>329 63rd Court Gulf</t>
        </is>
      </c>
      <c r="B455" s="23" t="inlineStr">
        <is>
          <t>A11947574</t>
        </is>
      </c>
      <c r="C455" s="23" t="inlineStr">
        <is>
          <t>Incomplete Data</t>
        </is>
      </c>
    </row>
    <row r="456">
      <c r="A456" s="23" t="inlineStr">
        <is>
          <t>36 NE 65th St</t>
        </is>
      </c>
      <c r="B456" s="23" t="inlineStr">
        <is>
          <t>A11945698</t>
        </is>
      </c>
      <c r="C456" s="23" t="inlineStr">
        <is>
          <t>Incomplete Data</t>
        </is>
      </c>
    </row>
    <row r="457">
      <c r="A457" s="23" t="inlineStr">
        <is>
          <t>175 NW 68th St</t>
        </is>
      </c>
      <c r="B457" s="23" t="inlineStr">
        <is>
          <t>A11711583</t>
        </is>
      </c>
      <c r="C457" s="23" t="inlineStr">
        <is>
          <t>Incomplete Data</t>
        </is>
      </c>
    </row>
    <row r="458">
      <c r="A458" s="23" t="inlineStr">
        <is>
          <t>170 NE 68th Ter</t>
        </is>
      </c>
      <c r="B458" s="23" t="inlineStr">
        <is>
          <t>A11944653</t>
        </is>
      </c>
      <c r="C458" s="23" t="inlineStr">
        <is>
          <t>Incomplete Data</t>
        </is>
      </c>
    </row>
    <row r="459">
      <c r="A459" s="23" t="inlineStr">
        <is>
          <t>1135 NW 6th Ave</t>
        </is>
      </c>
      <c r="B459" s="23" t="inlineStr">
        <is>
          <t>F10553911</t>
        </is>
      </c>
      <c r="C459" s="23" t="inlineStr">
        <is>
          <t>Incomplete Data</t>
        </is>
      </c>
    </row>
    <row r="460">
      <c r="A460" s="23" t="inlineStr">
        <is>
          <t>1109 NW 6th Avenue Unit#1-5</t>
        </is>
      </c>
      <c r="B460" s="23" t="inlineStr">
        <is>
          <t>R11091478</t>
        </is>
      </c>
      <c r="C460" s="23" t="inlineStr">
        <is>
          <t>Incomplete Data</t>
        </is>
      </c>
    </row>
    <row r="461">
      <c r="A461" s="23" t="inlineStr">
        <is>
          <t>2724 NW 6th Ct</t>
        </is>
      </c>
      <c r="B461" s="23" t="inlineStr">
        <is>
          <t>F10555876</t>
        </is>
      </c>
      <c r="C461" s="23" t="inlineStr">
        <is>
          <t>Incomplete Data</t>
        </is>
      </c>
    </row>
    <row r="462">
      <c r="A462" s="23" t="inlineStr">
        <is>
          <t>1020 6th St</t>
        </is>
      </c>
      <c r="B462" s="23" t="inlineStr">
        <is>
          <t>A11931509</t>
        </is>
      </c>
      <c r="C462" s="23" t="inlineStr">
        <is>
          <t>Incomplete Data</t>
        </is>
      </c>
    </row>
    <row r="463">
      <c r="A463" s="23" t="inlineStr">
        <is>
          <t>1565 SW 6th St</t>
        </is>
      </c>
      <c r="B463" s="23" t="inlineStr">
        <is>
          <t>A11939085</t>
        </is>
      </c>
      <c r="C463" s="23" t="inlineStr">
        <is>
          <t>Incomplete Data</t>
        </is>
      </c>
    </row>
    <row r="464">
      <c r="A464" s="23" t="inlineStr">
        <is>
          <t>728 SW 6th St</t>
        </is>
      </c>
      <c r="B464" s="23" t="inlineStr">
        <is>
          <t>F10543550</t>
        </is>
      </c>
      <c r="C464" s="23" t="inlineStr">
        <is>
          <t>Incomplete Data</t>
        </is>
      </c>
    </row>
    <row r="465">
      <c r="A465" s="23" t="inlineStr">
        <is>
          <t>815 6th Street</t>
        </is>
      </c>
      <c r="B465" s="23" t="inlineStr">
        <is>
          <t>R11150755</t>
        </is>
      </c>
      <c r="C465" s="23" t="inlineStr">
        <is>
          <t>Incomplete Data</t>
        </is>
      </c>
    </row>
    <row r="466">
      <c r="A466" s="23" t="inlineStr">
        <is>
          <t>1836 NW 70th street</t>
        </is>
      </c>
      <c r="B466" s="23" t="inlineStr">
        <is>
          <t>F10540932</t>
        </is>
      </c>
      <c r="C466" s="23" t="inlineStr">
        <is>
          <t>Incomplete Data</t>
        </is>
      </c>
    </row>
    <row r="467">
      <c r="A467" s="23" t="inlineStr">
        <is>
          <t>7659 NW 74th Ave</t>
        </is>
      </c>
      <c r="B467" s="23" t="inlineStr">
        <is>
          <t>F10502462</t>
        </is>
      </c>
      <c r="C467" s="23" t="inlineStr">
        <is>
          <t>Incomplete Data</t>
        </is>
      </c>
    </row>
    <row r="468">
      <c r="A468" s="23" t="inlineStr">
        <is>
          <t>625 75th St</t>
        </is>
      </c>
      <c r="B468" s="23" t="inlineStr">
        <is>
          <t>A11897687</t>
        </is>
      </c>
      <c r="C468" s="23" t="inlineStr">
        <is>
          <t>Incomplete Data</t>
        </is>
      </c>
    </row>
    <row r="469">
      <c r="A469" s="23" t="inlineStr">
        <is>
          <t>1337 NW 77th St</t>
        </is>
      </c>
      <c r="B469" s="23" t="inlineStr">
        <is>
          <t>F10550848</t>
        </is>
      </c>
      <c r="C469" s="23" t="inlineStr">
        <is>
          <t>Incomplete Data</t>
        </is>
      </c>
    </row>
    <row r="470">
      <c r="A470" s="23" t="inlineStr">
        <is>
          <t>605 77th St</t>
        </is>
      </c>
      <c r="B470" s="23" t="inlineStr">
        <is>
          <t>A11894934</t>
        </is>
      </c>
      <c r="C470" s="23" t="inlineStr">
        <is>
          <t>Incomplete Data</t>
        </is>
      </c>
    </row>
    <row r="471">
      <c r="A471" s="23" t="inlineStr">
        <is>
          <t>4103 NW 78th Ter</t>
        </is>
      </c>
      <c r="B471" s="23" t="inlineStr">
        <is>
          <t>F10549551</t>
        </is>
      </c>
      <c r="C471" s="23" t="inlineStr">
        <is>
          <t>Incomplete Data</t>
        </is>
      </c>
    </row>
    <row r="472">
      <c r="A472" s="23" t="inlineStr">
        <is>
          <t>1501 NE 7th Ave</t>
        </is>
      </c>
      <c r="B472" s="23" t="inlineStr">
        <is>
          <t>F10554588</t>
        </is>
      </c>
      <c r="C472" s="23" t="inlineStr">
        <is>
          <t>Incomplete Data</t>
        </is>
      </c>
    </row>
    <row r="473">
      <c r="A473" s="23" t="inlineStr">
        <is>
          <t>111 SE 7th Avenue Unit#A, B, C &amp; D.</t>
        </is>
      </c>
      <c r="B473" s="23" t="inlineStr">
        <is>
          <t>R11166296</t>
        </is>
      </c>
      <c r="C473" s="23" t="inlineStr">
        <is>
          <t>Incomplete Data</t>
        </is>
      </c>
    </row>
    <row r="474">
      <c r="A474" s="23" t="inlineStr">
        <is>
          <t>1608 7th Avenue</t>
        </is>
      </c>
      <c r="B474" s="23" t="inlineStr">
        <is>
          <t>R11166155</t>
        </is>
      </c>
      <c r="C474" s="23" t="inlineStr">
        <is>
          <t>Incomplete Data</t>
        </is>
      </c>
    </row>
    <row r="475">
      <c r="A475" s="23" t="inlineStr">
        <is>
          <t>1620 NE 7th St</t>
        </is>
      </c>
      <c r="B475" s="23" t="inlineStr">
        <is>
          <t>F10546364</t>
        </is>
      </c>
      <c r="C475" s="23" t="inlineStr">
        <is>
          <t>Incomplete Data</t>
        </is>
      </c>
    </row>
    <row r="476">
      <c r="A476" s="23" t="inlineStr">
        <is>
          <t>313-321 NW 7th St</t>
        </is>
      </c>
      <c r="B476" s="23" t="inlineStr">
        <is>
          <t>F10556168</t>
        </is>
      </c>
      <c r="C476" s="23" t="inlineStr">
        <is>
          <t>Incomplete Data</t>
        </is>
      </c>
    </row>
    <row r="477">
      <c r="A477" s="23" t="inlineStr">
        <is>
          <t>620 SW 7th Street 1-7</t>
        </is>
      </c>
      <c r="B477" s="23" t="inlineStr">
        <is>
          <t>F10521604</t>
        </is>
      </c>
      <c r="C477" s="23" t="inlineStr">
        <is>
          <t>Incomplete Data</t>
        </is>
      </c>
    </row>
    <row r="478">
      <c r="A478" s="23" t="inlineStr">
        <is>
          <t>3660 NW 80TH AVE.</t>
        </is>
      </c>
      <c r="B478" s="23" t="inlineStr">
        <is>
          <t>F10526638</t>
        </is>
      </c>
      <c r="C478" s="23" t="inlineStr">
        <is>
          <t>Incomplete Data</t>
        </is>
      </c>
    </row>
    <row r="479">
      <c r="A479" s="23" t="inlineStr">
        <is>
          <t>851 80th St</t>
        </is>
      </c>
      <c r="B479" s="23" t="inlineStr">
        <is>
          <t>A11923537</t>
        </is>
      </c>
      <c r="C479" s="23" t="inlineStr">
        <is>
          <t>Incomplete Data</t>
        </is>
      </c>
    </row>
    <row r="480">
      <c r="A480" s="23" t="inlineStr">
        <is>
          <t>903 80th St</t>
        </is>
      </c>
      <c r="B480" s="23" t="inlineStr">
        <is>
          <t>A11970930</t>
        </is>
      </c>
      <c r="C480" s="23" t="inlineStr">
        <is>
          <t>Incomplete Data</t>
        </is>
      </c>
    </row>
    <row r="481">
      <c r="A481" s="23" t="inlineStr">
        <is>
          <t>47 NE 80th Ter</t>
        </is>
      </c>
      <c r="B481" s="23" t="inlineStr">
        <is>
          <t>A11896447</t>
        </is>
      </c>
      <c r="C481" s="23" t="inlineStr">
        <is>
          <t>Incomplete Data</t>
        </is>
      </c>
    </row>
    <row r="482">
      <c r="A482" s="23" t="inlineStr">
        <is>
          <t>275 NW 81st Street</t>
        </is>
      </c>
      <c r="B482" s="23" t="inlineStr">
        <is>
          <t>R11098031</t>
        </is>
      </c>
      <c r="C482" s="23" t="inlineStr">
        <is>
          <t>Incomplete Data</t>
        </is>
      </c>
    </row>
    <row r="483">
      <c r="A483" s="23" t="inlineStr">
        <is>
          <t>770 83rd St</t>
        </is>
      </c>
      <c r="B483" s="23" t="inlineStr">
        <is>
          <t>A11958204</t>
        </is>
      </c>
      <c r="C483" s="23" t="inlineStr">
        <is>
          <t>Incomplete Data</t>
        </is>
      </c>
    </row>
    <row r="484">
      <c r="A484" s="23" t="inlineStr">
        <is>
          <t>800 83rd St</t>
        </is>
      </c>
      <c r="B484" s="23" t="inlineStr">
        <is>
          <t>A11958217</t>
        </is>
      </c>
      <c r="C484" s="23" t="inlineStr">
        <is>
          <t>Incomplete Data</t>
        </is>
      </c>
    </row>
    <row r="485">
      <c r="A485" s="23" t="inlineStr">
        <is>
          <t>1523-1525 NW 8th Ave</t>
        </is>
      </c>
      <c r="B485" s="23" t="inlineStr">
        <is>
          <t>F10552679</t>
        </is>
      </c>
      <c r="C485" s="23" t="inlineStr">
        <is>
          <t>Incomplete Data</t>
        </is>
      </c>
    </row>
    <row r="486">
      <c r="A486" s="23" t="inlineStr">
        <is>
          <t>124 SW 8th Avenue</t>
        </is>
      </c>
      <c r="B486" s="23" t="inlineStr">
        <is>
          <t>R11161235</t>
        </is>
      </c>
      <c r="C486" s="23" t="inlineStr">
        <is>
          <t>Incomplete Data</t>
        </is>
      </c>
    </row>
    <row r="487">
      <c r="A487" s="23" t="inlineStr">
        <is>
          <t>717 8th Avenue</t>
        </is>
      </c>
      <c r="B487" s="23" t="inlineStr">
        <is>
          <t>R11157415</t>
        </is>
      </c>
      <c r="C487" s="23" t="inlineStr">
        <is>
          <t>Incomplete Data</t>
        </is>
      </c>
    </row>
    <row r="488">
      <c r="A488" s="23" t="inlineStr">
        <is>
          <t>721 SW 8th St</t>
        </is>
      </c>
      <c r="B488" s="23" t="inlineStr">
        <is>
          <t>F10555887</t>
        </is>
      </c>
      <c r="C488" s="23" t="inlineStr">
        <is>
          <t>Incomplete Data</t>
        </is>
      </c>
    </row>
    <row r="489">
      <c r="A489" s="23" t="inlineStr">
        <is>
          <t>2181 NW 91st St</t>
        </is>
      </c>
      <c r="B489" s="23" t="inlineStr">
        <is>
          <t>A11909792</t>
        </is>
      </c>
      <c r="C489" s="23" t="inlineStr">
        <is>
          <t>Incomplete Data</t>
        </is>
      </c>
    </row>
    <row r="490">
      <c r="A490" s="23" t="inlineStr">
        <is>
          <t>2986 NW 91st St</t>
        </is>
      </c>
      <c r="B490" s="23" t="inlineStr">
        <is>
          <t>F10446955</t>
        </is>
      </c>
      <c r="C490" s="23" t="inlineStr">
        <is>
          <t>Incomplete Data</t>
        </is>
      </c>
    </row>
    <row r="491">
      <c r="A491" s="23" t="inlineStr">
        <is>
          <t>615 &amp; 617 NE 9th Ave</t>
        </is>
      </c>
      <c r="B491" s="23" t="inlineStr">
        <is>
          <t>F10534582</t>
        </is>
      </c>
      <c r="C491" s="23" t="inlineStr">
        <is>
          <t>Incomplete Data</t>
        </is>
      </c>
    </row>
    <row r="492">
      <c r="A492" s="23" t="inlineStr">
        <is>
          <t>512 N 9th Avenue</t>
        </is>
      </c>
      <c r="B492" s="23" t="inlineStr">
        <is>
          <t>R11168652</t>
        </is>
      </c>
      <c r="C492" s="23" t="inlineStr">
        <is>
          <t>Incomplete Data</t>
        </is>
      </c>
    </row>
    <row r="493">
      <c r="A493" s="23" t="inlineStr">
        <is>
          <t>224 SE 9th Ct</t>
        </is>
      </c>
      <c r="B493" s="23" t="inlineStr">
        <is>
          <t>F10485762</t>
        </is>
      </c>
      <c r="C493" s="23" t="inlineStr">
        <is>
          <t>Incomplete Data</t>
        </is>
      </c>
    </row>
    <row r="494">
      <c r="A494" s="23" t="inlineStr">
        <is>
          <t>1845 SW 9th St</t>
        </is>
      </c>
      <c r="B494" s="23" t="inlineStr">
        <is>
          <t>A11946454</t>
        </is>
      </c>
      <c r="C494" s="23" t="inlineStr">
        <is>
          <t>Incomplete Data</t>
        </is>
      </c>
    </row>
    <row r="495">
      <c r="A495" s="23" t="inlineStr">
        <is>
          <t>209 NE 9th St</t>
        </is>
      </c>
      <c r="B495" s="23" t="inlineStr">
        <is>
          <t>F10516682</t>
        </is>
      </c>
      <c r="C495" s="23" t="inlineStr">
        <is>
          <t>Incomplete Data</t>
        </is>
      </c>
    </row>
    <row r="496">
      <c r="A496" s="23" t="inlineStr">
        <is>
          <t>816 9th Street</t>
        </is>
      </c>
      <c r="B496" s="23" t="inlineStr">
        <is>
          <t>R11165531</t>
        </is>
      </c>
      <c r="C496" s="23" t="inlineStr">
        <is>
          <t>Incomplete Data</t>
        </is>
      </c>
    </row>
    <row r="497">
      <c r="A497" s="23" t="inlineStr">
        <is>
          <t>115 N A Street</t>
        </is>
      </c>
      <c r="B497" s="23" t="inlineStr">
        <is>
          <t>R11169258</t>
        </is>
      </c>
      <c r="C497" s="23" t="inlineStr">
        <is>
          <t>Incomplete Data</t>
        </is>
      </c>
    </row>
    <row r="498">
      <c r="A498" s="23" t="inlineStr">
        <is>
          <t>907 N A Street</t>
        </is>
      </c>
      <c r="B498" s="23" t="inlineStr">
        <is>
          <t>R11124808</t>
        </is>
      </c>
      <c r="C498" s="23" t="inlineStr">
        <is>
          <t>Incomplete Data</t>
        </is>
      </c>
    </row>
    <row r="499">
      <c r="A499" s="23" t="inlineStr">
        <is>
          <t>18 Adams Road</t>
        </is>
      </c>
      <c r="B499" s="23" t="inlineStr">
        <is>
          <t>R11076354</t>
        </is>
      </c>
      <c r="C499" s="23" t="inlineStr">
        <is>
          <t>Incomplete Data</t>
        </is>
      </c>
    </row>
    <row r="500">
      <c r="A500" s="23" t="inlineStr">
        <is>
          <t>1928 Adams St</t>
        </is>
      </c>
      <c r="B500" s="23" t="inlineStr">
        <is>
          <t>F10539787</t>
        </is>
      </c>
      <c r="C500" s="23" t="inlineStr">
        <is>
          <t>Incomplete Data</t>
        </is>
      </c>
    </row>
    <row r="501">
      <c r="A501" s="23" t="inlineStr">
        <is>
          <t>101 Akron Street</t>
        </is>
      </c>
      <c r="B501" s="23" t="inlineStr">
        <is>
          <t>R11150682</t>
        </is>
      </c>
      <c r="C501" s="23" t="inlineStr">
        <is>
          <t>Incomplete Data</t>
        </is>
      </c>
    </row>
    <row r="502">
      <c r="A502" s="23" t="inlineStr">
        <is>
          <t>296 Alemeda Dr</t>
        </is>
      </c>
      <c r="B502" s="23" t="inlineStr">
        <is>
          <t>F10556435</t>
        </is>
      </c>
      <c r="C502" s="23" t="inlineStr">
        <is>
          <t>Incomplete Data</t>
        </is>
      </c>
    </row>
    <row r="503">
      <c r="A503" s="23" t="inlineStr">
        <is>
          <t>632 Allen Avenue</t>
        </is>
      </c>
      <c r="B503" s="23" t="inlineStr">
        <is>
          <t>R11144426</t>
        </is>
      </c>
      <c r="C503" s="23" t="inlineStr">
        <is>
          <t>Incomplete Data</t>
        </is>
      </c>
    </row>
    <row r="504">
      <c r="A504" s="23" t="inlineStr">
        <is>
          <t>807 Alton Rd</t>
        </is>
      </c>
      <c r="B504" s="23" t="inlineStr">
        <is>
          <t>A11929338</t>
        </is>
      </c>
      <c r="C504" s="23" t="inlineStr">
        <is>
          <t>Incomplete Data</t>
        </is>
      </c>
    </row>
    <row r="505">
      <c r="A505" s="23" t="inlineStr">
        <is>
          <t>1201 N Andrews Ave</t>
        </is>
      </c>
      <c r="B505" s="23" t="inlineStr">
        <is>
          <t>F10552071</t>
        </is>
      </c>
      <c r="C505" s="23" t="inlineStr">
        <is>
          <t>Incomplete Data</t>
        </is>
      </c>
    </row>
    <row r="506">
      <c r="A506" s="23" t="inlineStr">
        <is>
          <t>2907 Apalachee Road</t>
        </is>
      </c>
      <c r="B506" s="23" t="inlineStr">
        <is>
          <t>R11130150</t>
        </is>
      </c>
      <c r="C506" s="23" t="inlineStr">
        <is>
          <t>Incomplete Data</t>
        </is>
      </c>
    </row>
    <row r="507">
      <c r="A507" s="23" t="inlineStr">
        <is>
          <t>150 Australian Avenue</t>
        </is>
      </c>
      <c r="B507" s="23" t="inlineStr">
        <is>
          <t>R11163493</t>
        </is>
      </c>
      <c r="C507" s="23" t="inlineStr">
        <is>
          <t>Incomplete Data</t>
        </is>
      </c>
    </row>
    <row r="508">
      <c r="A508" s="23" t="inlineStr">
        <is>
          <t>2721 Avenue Avenue Unit#A1</t>
        </is>
      </c>
      <c r="B508" s="23" t="inlineStr">
        <is>
          <t>R11119901</t>
        </is>
      </c>
      <c r="C508" s="23" t="inlineStr">
        <is>
          <t>Incomplete Data</t>
        </is>
      </c>
    </row>
    <row r="509">
      <c r="A509" s="23" t="inlineStr">
        <is>
          <t>908 SW Avenue D</t>
        </is>
      </c>
      <c r="B509" s="23" t="inlineStr">
        <is>
          <t>A11962250</t>
        </is>
      </c>
      <c r="C509" s="23" t="inlineStr">
        <is>
          <t>Incomplete Data</t>
        </is>
      </c>
    </row>
    <row r="510">
      <c r="A510" s="23" t="inlineStr">
        <is>
          <t>200 Azure Way</t>
        </is>
      </c>
      <c r="B510" s="23" t="inlineStr">
        <is>
          <t>A11751819</t>
        </is>
      </c>
      <c r="C510" s="23" t="inlineStr">
        <is>
          <t>Incomplete Data</t>
        </is>
      </c>
    </row>
    <row r="511">
      <c r="A511" s="23" t="inlineStr">
        <is>
          <t>356 Balboa St</t>
        </is>
      </c>
      <c r="B511" s="23" t="inlineStr">
        <is>
          <t>F10472199</t>
        </is>
      </c>
      <c r="C511" s="23" t="inlineStr">
        <is>
          <t>Incomplete Data</t>
        </is>
      </c>
    </row>
    <row r="512">
      <c r="A512" s="23" t="inlineStr">
        <is>
          <t>258 Basin Dr</t>
        </is>
      </c>
      <c r="B512" s="23" t="inlineStr">
        <is>
          <t>F10554505</t>
        </is>
      </c>
      <c r="C512" s="23" t="inlineStr">
        <is>
          <t>Incomplete Data</t>
        </is>
      </c>
    </row>
    <row r="513">
      <c r="A513" s="23" t="inlineStr">
        <is>
          <t>9950 E Bay Harbor Dr</t>
        </is>
      </c>
      <c r="B513" s="23" t="inlineStr">
        <is>
          <t>A11745188</t>
        </is>
      </c>
      <c r="C513" s="23" t="inlineStr">
        <is>
          <t>Incomplete Data</t>
        </is>
      </c>
    </row>
    <row r="514">
      <c r="A514" s="23" t="inlineStr">
        <is>
          <t>512 Bayberry Drive</t>
        </is>
      </c>
      <c r="B514" s="23" t="inlineStr">
        <is>
          <t>R11138162</t>
        </is>
      </c>
      <c r="C514" s="23" t="inlineStr">
        <is>
          <t>Incomplete Data</t>
        </is>
      </c>
    </row>
    <row r="515">
      <c r="A515" s="23" t="inlineStr">
        <is>
          <t>652 Bayberry Drive</t>
        </is>
      </c>
      <c r="B515" s="23" t="inlineStr">
        <is>
          <t>R11073515</t>
        </is>
      </c>
      <c r="C515" s="23" t="inlineStr">
        <is>
          <t>Incomplete Data</t>
        </is>
      </c>
    </row>
    <row r="516">
      <c r="A516" s="23" t="inlineStr">
        <is>
          <t>4533 Bougainvilla Dr</t>
        </is>
      </c>
      <c r="B516" s="23" t="inlineStr">
        <is>
          <t>F10537316</t>
        </is>
      </c>
      <c r="C516" s="23" t="inlineStr">
        <is>
          <t>Incomplete Data</t>
        </is>
      </c>
    </row>
    <row r="517">
      <c r="A517" s="23" t="inlineStr">
        <is>
          <t>1675 E Breezy Lane</t>
        </is>
      </c>
      <c r="B517" s="23" t="inlineStr">
        <is>
          <t>R11042068</t>
        </is>
      </c>
      <c r="C517" s="23" t="inlineStr">
        <is>
          <t>Incomplete Data</t>
        </is>
      </c>
    </row>
    <row r="518">
      <c r="A518" s="23" t="inlineStr">
        <is>
          <t xml:space="preserve">3808 Broadway </t>
        </is>
      </c>
      <c r="B518" s="23" t="inlineStr">
        <is>
          <t>R11102070</t>
        </is>
      </c>
      <c r="C518" s="23" t="inlineStr">
        <is>
          <t>Incomplete Data</t>
        </is>
      </c>
    </row>
    <row r="519">
      <c r="A519" s="23" t="inlineStr">
        <is>
          <t>1213 W Broward St</t>
        </is>
      </c>
      <c r="B519" s="23" t="inlineStr">
        <is>
          <t>F10552506</t>
        </is>
      </c>
      <c r="C519" s="23" t="inlineStr">
        <is>
          <t>Incomplete Data</t>
        </is>
      </c>
    </row>
    <row r="520">
      <c r="A520" s="23" t="inlineStr">
        <is>
          <t>7435 Byron Ave</t>
        </is>
      </c>
      <c r="B520" s="23" t="inlineStr">
        <is>
          <t>A11891783</t>
        </is>
      </c>
      <c r="C520" s="23" t="inlineStr">
        <is>
          <t>Incomplete Data</t>
        </is>
      </c>
    </row>
    <row r="521">
      <c r="A521" s="23" t="inlineStr">
        <is>
          <t>1100 Cabana Road Unit#1-4</t>
        </is>
      </c>
      <c r="B521" s="23" t="inlineStr">
        <is>
          <t>R11134694</t>
        </is>
      </c>
      <c r="C521" s="23" t="inlineStr">
        <is>
          <t>Incomplete Data</t>
        </is>
      </c>
    </row>
    <row r="522">
      <c r="A522" s="23" t="inlineStr">
        <is>
          <t>3220 Canal Dr</t>
        </is>
      </c>
      <c r="B522" s="23" t="inlineStr">
        <is>
          <t>F10486365</t>
        </is>
      </c>
      <c r="C522" s="23" t="inlineStr">
        <is>
          <t>Incomplete Data</t>
        </is>
      </c>
    </row>
    <row r="523">
      <c r="A523" s="23" t="inlineStr">
        <is>
          <t>263 Carissa Dr</t>
        </is>
      </c>
      <c r="B523" s="23" t="inlineStr">
        <is>
          <t>A11945550</t>
        </is>
      </c>
      <c r="C523" s="23" t="inlineStr">
        <is>
          <t>Incomplete Data</t>
        </is>
      </c>
    </row>
    <row r="524">
      <c r="A524" s="23" t="inlineStr">
        <is>
          <t>7420 Carlyle Ave</t>
        </is>
      </c>
      <c r="B524" s="23" t="inlineStr">
        <is>
          <t>A11898550</t>
        </is>
      </c>
      <c r="C524" s="23" t="inlineStr">
        <is>
          <t>Incomplete Data</t>
        </is>
      </c>
    </row>
    <row r="525">
      <c r="A525" s="23" t="inlineStr">
        <is>
          <t>4891 Carver Street</t>
        </is>
      </c>
      <c r="B525" s="23" t="inlineStr">
        <is>
          <t>R11153605</t>
        </is>
      </c>
      <c r="C525" s="23" t="inlineStr">
        <is>
          <t>Incomplete Data</t>
        </is>
      </c>
    </row>
    <row r="526">
      <c r="A526" s="23" t="inlineStr">
        <is>
          <t>112 Claremont Lane</t>
        </is>
      </c>
      <c r="B526" s="23" t="inlineStr">
        <is>
          <t>R11151571</t>
        </is>
      </c>
      <c r="C526" s="23" t="inlineStr">
        <is>
          <t>Incomplete Data</t>
        </is>
      </c>
    </row>
    <row r="527">
      <c r="A527" s="23" t="inlineStr">
        <is>
          <t>616 Claremore Drive</t>
        </is>
      </c>
      <c r="B527" s="23" t="inlineStr">
        <is>
          <t>R11157425</t>
        </is>
      </c>
      <c r="C527" s="23" t="inlineStr">
        <is>
          <t>Incomplete Data</t>
        </is>
      </c>
    </row>
    <row r="528">
      <c r="A528" s="23" t="inlineStr">
        <is>
          <t>1625 Cleveland St</t>
        </is>
      </c>
      <c r="B528" s="23" t="inlineStr">
        <is>
          <t>F10551991</t>
        </is>
      </c>
      <c r="C528" s="23" t="inlineStr">
        <is>
          <t>Incomplete Data</t>
        </is>
      </c>
    </row>
    <row r="529">
      <c r="A529" s="23" t="inlineStr">
        <is>
          <t>4258 Coconut Road</t>
        </is>
      </c>
      <c r="B529" s="23" t="inlineStr">
        <is>
          <t>R11168448</t>
        </is>
      </c>
      <c r="C529" s="23" t="inlineStr">
        <is>
          <t>Incomplete Data</t>
        </is>
      </c>
    </row>
    <row r="530">
      <c r="A530" s="23" t="inlineStr">
        <is>
          <t>4559 Cole Street</t>
        </is>
      </c>
      <c r="B530" s="23" t="inlineStr">
        <is>
          <t>R11147186</t>
        </is>
      </c>
      <c r="C530" s="23" t="inlineStr">
        <is>
          <t>Incomplete Data</t>
        </is>
      </c>
    </row>
    <row r="531">
      <c r="A531" s="23" t="inlineStr">
        <is>
          <t>19370 Collins Ave</t>
        </is>
      </c>
      <c r="B531" s="23" t="inlineStr">
        <is>
          <t>F10426180</t>
        </is>
      </c>
      <c r="C531" s="23" t="inlineStr">
        <is>
          <t>Incomplete Data</t>
        </is>
      </c>
    </row>
    <row r="532">
      <c r="A532" s="23" t="inlineStr">
        <is>
          <t>523 Colonial Road Unit#A - B</t>
        </is>
      </c>
      <c r="B532" s="23" t="inlineStr">
        <is>
          <t>R11164929</t>
        </is>
      </c>
      <c r="C532" s="23" t="inlineStr">
        <is>
          <t>Incomplete Data</t>
        </is>
      </c>
    </row>
    <row r="533">
      <c r="A533" s="23" t="inlineStr">
        <is>
          <t>2318 Coolidge St</t>
        </is>
      </c>
      <c r="B533" s="23" t="inlineStr">
        <is>
          <t>F10491512</t>
        </is>
      </c>
      <c r="C533" s="23" t="inlineStr">
        <is>
          <t>Incomplete Data</t>
        </is>
      </c>
    </row>
    <row r="534">
      <c r="A534" s="23" t="inlineStr">
        <is>
          <t>3770 County Line Road</t>
        </is>
      </c>
      <c r="B534" s="23" t="inlineStr">
        <is>
          <t>R11158268</t>
        </is>
      </c>
      <c r="C534" s="23" t="inlineStr">
        <is>
          <t>Incomplete Data</t>
        </is>
      </c>
    </row>
    <row r="535">
      <c r="A535" s="23" t="inlineStr">
        <is>
          <t>8135 Crespi Blvd</t>
        </is>
      </c>
      <c r="B535" s="23" t="inlineStr">
        <is>
          <t>A11958236</t>
        </is>
      </c>
      <c r="C535" s="23" t="inlineStr">
        <is>
          <t>Incomplete Data</t>
        </is>
      </c>
    </row>
    <row r="536">
      <c r="A536" s="23" t="inlineStr">
        <is>
          <t>2886 Croton Lane</t>
        </is>
      </c>
      <c r="B536" s="23" t="inlineStr">
        <is>
          <t>R11151900</t>
        </is>
      </c>
      <c r="C536" s="23" t="inlineStr">
        <is>
          <t>Incomplete Data</t>
        </is>
      </c>
    </row>
    <row r="537">
      <c r="A537" s="23" t="inlineStr">
        <is>
          <t>305 Cypress Drive Unit#1,2,3,4,5</t>
        </is>
      </c>
      <c r="B537" s="23" t="inlineStr">
        <is>
          <t>R11126199</t>
        </is>
      </c>
      <c r="C537" s="23" t="inlineStr">
        <is>
          <t>Incomplete Data</t>
        </is>
      </c>
    </row>
    <row r="538">
      <c r="A538" s="23" t="inlineStr">
        <is>
          <t>1705 Davie Blvd</t>
        </is>
      </c>
      <c r="B538" s="23" t="inlineStr">
        <is>
          <t>F10549004</t>
        </is>
      </c>
      <c r="C538" s="23" t="inlineStr">
        <is>
          <t>Incomplete Data</t>
        </is>
      </c>
    </row>
    <row r="539">
      <c r="A539" s="23" t="inlineStr">
        <is>
          <t>4562 &amp;4588 Davis Road</t>
        </is>
      </c>
      <c r="B539" s="23" t="inlineStr">
        <is>
          <t>R11150849</t>
        </is>
      </c>
      <c r="C539" s="23" t="inlineStr">
        <is>
          <t>Incomplete Data</t>
        </is>
      </c>
    </row>
    <row r="540">
      <c r="A540" s="23" t="inlineStr">
        <is>
          <t>303/305 De Carie Street</t>
        </is>
      </c>
      <c r="B540" s="23" t="inlineStr">
        <is>
          <t>R11066002</t>
        </is>
      </c>
      <c r="C540" s="23" t="inlineStr">
        <is>
          <t>Incomplete Data</t>
        </is>
      </c>
    </row>
    <row r="541">
      <c r="A541" s="23" t="inlineStr">
        <is>
          <t>325 E Decarie Street</t>
        </is>
      </c>
      <c r="B541" s="23" t="inlineStr">
        <is>
          <t>R11124705</t>
        </is>
      </c>
      <c r="C541" s="23" t="inlineStr">
        <is>
          <t>Incomplete Data</t>
        </is>
      </c>
    </row>
    <row r="542">
      <c r="A542" s="23" t="inlineStr">
        <is>
          <t>4865 Dell Avenue</t>
        </is>
      </c>
      <c r="B542" s="23" t="inlineStr">
        <is>
          <t>R11164687</t>
        </is>
      </c>
      <c r="C542" s="23" t="inlineStr">
        <is>
          <t>Incomplete Data</t>
        </is>
      </c>
    </row>
    <row r="543">
      <c r="A543" s="23" t="inlineStr">
        <is>
          <t>1932 Dewey St</t>
        </is>
      </c>
      <c r="B543" s="23" t="inlineStr">
        <is>
          <t>A11898798</t>
        </is>
      </c>
      <c r="C543" s="23" t="inlineStr">
        <is>
          <t>Incomplete Data</t>
        </is>
      </c>
    </row>
    <row r="544">
      <c r="A544" s="23" t="inlineStr">
        <is>
          <t>1933 Dewey St</t>
        </is>
      </c>
      <c r="B544" s="23" t="inlineStr">
        <is>
          <t>F10524308</t>
        </is>
      </c>
      <c r="C544" s="23" t="inlineStr">
        <is>
          <t>Incomplete Data</t>
        </is>
      </c>
    </row>
    <row r="545">
      <c r="A545" s="23" t="inlineStr">
        <is>
          <t>246 Dixie Blvd</t>
        </is>
      </c>
      <c r="B545" s="23" t="inlineStr">
        <is>
          <t>F10536994</t>
        </is>
      </c>
      <c r="C545" s="23" t="inlineStr">
        <is>
          <t>Incomplete Data</t>
        </is>
      </c>
    </row>
    <row r="546">
      <c r="A546" s="23" t="inlineStr">
        <is>
          <t>2135 Dock Street</t>
        </is>
      </c>
      <c r="B546" s="23" t="inlineStr">
        <is>
          <t>F10513058</t>
        </is>
      </c>
      <c r="C546" s="23" t="inlineStr">
        <is>
          <t>Incomplete Data</t>
        </is>
      </c>
    </row>
    <row r="547">
      <c r="A547" s="23" t="inlineStr">
        <is>
          <t>1355 Drexel Ave</t>
        </is>
      </c>
      <c r="B547" s="23" t="inlineStr">
        <is>
          <t>A11929268</t>
        </is>
      </c>
      <c r="C547" s="23" t="inlineStr">
        <is>
          <t>Incomplete Data</t>
        </is>
      </c>
    </row>
    <row r="548">
      <c r="A548" s="23" t="inlineStr">
        <is>
          <t>19 S E Street</t>
        </is>
      </c>
      <c r="B548" s="23" t="inlineStr">
        <is>
          <t>R11139720</t>
        </is>
      </c>
      <c r="C548" s="23" t="inlineStr">
        <is>
          <t>Incomplete Data</t>
        </is>
      </c>
    </row>
    <row r="549">
      <c r="A549" s="23" t="inlineStr">
        <is>
          <t>323 S E Street</t>
        </is>
      </c>
      <c r="B549" s="23" t="inlineStr">
        <is>
          <t>R11099311</t>
        </is>
      </c>
      <c r="C549" s="23" t="inlineStr">
        <is>
          <t>Incomplete Data</t>
        </is>
      </c>
    </row>
    <row r="550">
      <c r="A550" s="23" t="inlineStr">
        <is>
          <t>2405-2407 N East Coast Street</t>
        </is>
      </c>
      <c r="B550" s="23" t="inlineStr">
        <is>
          <t>R11151039</t>
        </is>
      </c>
      <c r="C550" s="23" t="inlineStr">
        <is>
          <t>Incomplete Data</t>
        </is>
      </c>
    </row>
    <row r="551">
      <c r="A551" s="23" t="inlineStr">
        <is>
          <t>760 Executive Center Drive Unit#14</t>
        </is>
      </c>
      <c r="B551" s="23" t="inlineStr">
        <is>
          <t>R11142282</t>
        </is>
      </c>
      <c r="C551" s="23" t="inlineStr">
        <is>
          <t>Incomplete Data</t>
        </is>
      </c>
    </row>
    <row r="552">
      <c r="A552" s="23" t="inlineStr">
        <is>
          <t>1125 N F Street</t>
        </is>
      </c>
      <c r="B552" s="23" t="inlineStr">
        <is>
          <t>F10520837</t>
        </is>
      </c>
      <c r="C552" s="23" t="inlineStr">
        <is>
          <t>Incomplete Data</t>
        </is>
      </c>
    </row>
    <row r="553">
      <c r="A553" s="23" t="inlineStr">
        <is>
          <t>902 N F Street</t>
        </is>
      </c>
      <c r="B553" s="23" t="inlineStr">
        <is>
          <t>R11165488</t>
        </is>
      </c>
      <c r="C553" s="23" t="inlineStr">
        <is>
          <t>Incomplete Data</t>
        </is>
      </c>
    </row>
    <row r="554">
      <c r="A554" s="23" t="inlineStr">
        <is>
          <t>910 N F Street</t>
        </is>
      </c>
      <c r="B554" s="23" t="inlineStr">
        <is>
          <t>R11100181</t>
        </is>
      </c>
      <c r="C554" s="23" t="inlineStr">
        <is>
          <t>Incomplete Data</t>
        </is>
      </c>
    </row>
    <row r="555">
      <c r="A555" s="23" t="inlineStr">
        <is>
          <t>7 Fayette Drive</t>
        </is>
      </c>
      <c r="B555" s="23" t="inlineStr">
        <is>
          <t>R11159002</t>
        </is>
      </c>
      <c r="C555" s="23" t="inlineStr">
        <is>
          <t>Incomplete Data</t>
        </is>
      </c>
    </row>
    <row r="556">
      <c r="A556" s="23" t="inlineStr">
        <is>
          <t xml:space="preserve">1113 N Federal Highway </t>
        </is>
      </c>
      <c r="B556" s="23" t="inlineStr">
        <is>
          <t>R11169067</t>
        </is>
      </c>
      <c r="C556" s="23" t="inlineStr">
        <is>
          <t>Incomplete Data</t>
        </is>
      </c>
    </row>
    <row r="557">
      <c r="A557" s="23" t="inlineStr">
        <is>
          <t>1211 Florida Avenue</t>
        </is>
      </c>
      <c r="B557" s="23" t="inlineStr">
        <is>
          <t>R11166839</t>
        </is>
      </c>
      <c r="C557" s="23" t="inlineStr">
        <is>
          <t>Incomplete Data</t>
        </is>
      </c>
    </row>
    <row r="558">
      <c r="A558" s="23" t="inlineStr">
        <is>
          <t>1309 Florida Avenue</t>
        </is>
      </c>
      <c r="B558" s="23" t="inlineStr">
        <is>
          <t>R11164510</t>
        </is>
      </c>
      <c r="C558" s="23" t="inlineStr">
        <is>
          <t>Incomplete Data</t>
        </is>
      </c>
    </row>
    <row r="559">
      <c r="A559" s="23" t="inlineStr">
        <is>
          <t>3063 Floweva Street Unit#A</t>
        </is>
      </c>
      <c r="B559" s="23" t="inlineStr">
        <is>
          <t>R11115439</t>
        </is>
      </c>
      <c r="C559" s="23" t="inlineStr">
        <is>
          <t>Incomplete Data</t>
        </is>
      </c>
    </row>
    <row r="560">
      <c r="A560" s="23" t="inlineStr">
        <is>
          <t>1042 Foster Rd</t>
        </is>
      </c>
      <c r="B560" s="23" t="inlineStr">
        <is>
          <t>F10546012</t>
        </is>
      </c>
      <c r="C560" s="23" t="inlineStr">
        <is>
          <t>Incomplete Data</t>
        </is>
      </c>
    </row>
    <row r="561">
      <c r="A561" s="23" t="inlineStr">
        <is>
          <t>414 Foster Rd</t>
        </is>
      </c>
      <c r="B561" s="23" t="inlineStr">
        <is>
          <t>A11885460</t>
        </is>
      </c>
      <c r="C561" s="23" t="inlineStr">
        <is>
          <t>Incomplete Data</t>
        </is>
      </c>
    </row>
    <row r="562">
      <c r="A562" s="23" t="inlineStr">
        <is>
          <t>1309 W Frangipani Circle</t>
        </is>
      </c>
      <c r="B562" s="23" t="inlineStr">
        <is>
          <t>R11139542</t>
        </is>
      </c>
      <c r="C562" s="23" t="inlineStr">
        <is>
          <t>Incomplete Data</t>
        </is>
      </c>
    </row>
    <row r="563">
      <c r="A563" s="23" t="inlineStr">
        <is>
          <t>2014 Funston St</t>
        </is>
      </c>
      <c r="B563" s="23" t="inlineStr">
        <is>
          <t>A11820818</t>
        </is>
      </c>
      <c r="C563" s="23" t="inlineStr">
        <is>
          <t>Incomplete Data</t>
        </is>
      </c>
    </row>
    <row r="564">
      <c r="A564" s="23" t="inlineStr">
        <is>
          <t>4804 Garden Avenue</t>
        </is>
      </c>
      <c r="B564" s="23" t="inlineStr">
        <is>
          <t>R11162399</t>
        </is>
      </c>
      <c r="C564" s="23" t="inlineStr">
        <is>
          <t>Incomplete Data</t>
        </is>
      </c>
    </row>
    <row r="565">
      <c r="A565" s="23" t="inlineStr">
        <is>
          <t>6704 Garden Avenue</t>
        </is>
      </c>
      <c r="B565" s="23" t="inlineStr">
        <is>
          <t>R11160549</t>
        </is>
      </c>
      <c r="C565" s="23" t="inlineStr">
        <is>
          <t>Incomplete Data</t>
        </is>
      </c>
    </row>
    <row r="566">
      <c r="A566" s="23" t="inlineStr">
        <is>
          <t>1018 Georgia Street</t>
        </is>
      </c>
      <c r="B566" s="23" t="inlineStr">
        <is>
          <t>R11168914</t>
        </is>
      </c>
      <c r="C566" s="23" t="inlineStr">
        <is>
          <t>Incomplete Data</t>
        </is>
      </c>
    </row>
    <row r="567">
      <c r="A567" s="23" t="inlineStr">
        <is>
          <t>4108 Greenwood Avenue</t>
        </is>
      </c>
      <c r="B567" s="23" t="inlineStr">
        <is>
          <t>R11117674</t>
        </is>
      </c>
      <c r="C567" s="23" t="inlineStr">
        <is>
          <t>Incomplete Data</t>
        </is>
      </c>
    </row>
    <row r="568">
      <c r="A568" s="23" t="inlineStr">
        <is>
          <t>2747 Griffin Road Unit#1-3</t>
        </is>
      </c>
      <c r="B568" s="23" t="inlineStr">
        <is>
          <t>R11142925</t>
        </is>
      </c>
      <c r="C568" s="23" t="inlineStr">
        <is>
          <t>Incomplete Data</t>
        </is>
      </c>
    </row>
    <row r="569">
      <c r="A569" s="23" t="inlineStr">
        <is>
          <t>4610 Hairland Drive Drive</t>
        </is>
      </c>
      <c r="B569" s="23" t="inlineStr">
        <is>
          <t>R11153671</t>
        </is>
      </c>
      <c r="C569" s="23" t="inlineStr">
        <is>
          <t>Incomplete Data</t>
        </is>
      </c>
    </row>
    <row r="570">
      <c r="A570" s="23" t="inlineStr">
        <is>
          <t>213 Hibiscus Ave</t>
        </is>
      </c>
      <c r="B570" s="23" t="inlineStr">
        <is>
          <t>F10556073</t>
        </is>
      </c>
      <c r="C570" s="23" t="inlineStr">
        <is>
          <t>Incomplete Data</t>
        </is>
      </c>
    </row>
    <row r="571">
      <c r="A571" s="23" t="inlineStr">
        <is>
          <t>9201 Highpoint Drive Unit#Lot 2</t>
        </is>
      </c>
      <c r="B571" s="23" t="inlineStr">
        <is>
          <t>R11159836</t>
        </is>
      </c>
      <c r="C571" s="23" t="inlineStr">
        <is>
          <t>Incomplete Data</t>
        </is>
      </c>
    </row>
    <row r="572">
      <c r="A572" s="23" t="inlineStr">
        <is>
          <t>3910 Holden Lane</t>
        </is>
      </c>
      <c r="B572" s="23" t="inlineStr">
        <is>
          <t>R11148822</t>
        </is>
      </c>
      <c r="C572" s="23" t="inlineStr">
        <is>
          <t>Incomplete Data</t>
        </is>
      </c>
    </row>
    <row r="573">
      <c r="A573" s="23" t="inlineStr">
        <is>
          <t>697 Ipswich St</t>
        </is>
      </c>
      <c r="B573" s="23" t="inlineStr">
        <is>
          <t>F10512413</t>
        </is>
      </c>
      <c r="C573" s="23" t="inlineStr">
        <is>
          <t>Incomplete Data</t>
        </is>
      </c>
    </row>
    <row r="574">
      <c r="A574" s="23" t="inlineStr">
        <is>
          <t>1602 N J 1 Street Unit#1,2,3</t>
        </is>
      </c>
      <c r="B574" s="23" t="inlineStr">
        <is>
          <t>R11082575</t>
        </is>
      </c>
      <c r="C574" s="23" t="inlineStr">
        <is>
          <t>Incomplete Data</t>
        </is>
      </c>
    </row>
    <row r="575">
      <c r="A575" s="23" t="inlineStr">
        <is>
          <t>1402 S J Street Unit#1</t>
        </is>
      </c>
      <c r="B575" s="23" t="inlineStr">
        <is>
          <t>R11133329</t>
        </is>
      </c>
      <c r="C575" s="23" t="inlineStr">
        <is>
          <t>Incomplete Data</t>
        </is>
      </c>
    </row>
    <row r="576">
      <c r="A576" s="23" t="inlineStr">
        <is>
          <t>1502 N J Street Unit#1-3</t>
        </is>
      </c>
      <c r="B576" s="23" t="inlineStr">
        <is>
          <t>R11159207</t>
        </is>
      </c>
      <c r="C576" s="23" t="inlineStr">
        <is>
          <t>Incomplete Data</t>
        </is>
      </c>
    </row>
    <row r="577">
      <c r="A577" s="23" t="inlineStr">
        <is>
          <t>133 Jennings Avenue</t>
        </is>
      </c>
      <c r="B577" s="23" t="inlineStr">
        <is>
          <t>R11152161</t>
        </is>
      </c>
      <c r="C577" s="23" t="inlineStr">
        <is>
          <t>Incomplete Data</t>
        </is>
      </c>
    </row>
    <row r="578">
      <c r="A578" s="23" t="inlineStr">
        <is>
          <t>134 Jennings Avenue</t>
        </is>
      </c>
      <c r="B578" s="23" t="inlineStr">
        <is>
          <t>R11152146</t>
        </is>
      </c>
      <c r="C578" s="23" t="inlineStr">
        <is>
          <t>Incomplete Data</t>
        </is>
      </c>
    </row>
    <row r="579">
      <c r="A579" s="23" t="inlineStr">
        <is>
          <t>2081 Joy Rene Lane</t>
        </is>
      </c>
      <c r="B579" s="23" t="inlineStr">
        <is>
          <t>R11152947</t>
        </is>
      </c>
      <c r="C579" s="23" t="inlineStr">
        <is>
          <t>Incomplete Data</t>
        </is>
      </c>
    </row>
    <row r="580">
      <c r="A580" s="23" t="inlineStr">
        <is>
          <t>1831 Juno Road</t>
        </is>
      </c>
      <c r="B580" s="23" t="inlineStr">
        <is>
          <t>R11143433</t>
        </is>
      </c>
      <c r="C580" s="23" t="inlineStr">
        <is>
          <t>Incomplete Data</t>
        </is>
      </c>
    </row>
    <row r="581">
      <c r="A581" s="23" t="inlineStr">
        <is>
          <t>305 S K Street</t>
        </is>
      </c>
      <c r="B581" s="23" t="inlineStr">
        <is>
          <t>R11166060</t>
        </is>
      </c>
      <c r="C581" s="23" t="inlineStr">
        <is>
          <t>Incomplete Data</t>
        </is>
      </c>
    </row>
    <row r="582">
      <c r="A582" s="23" t="inlineStr">
        <is>
          <t>6240 Kendrick Street</t>
        </is>
      </c>
      <c r="B582" s="23" t="inlineStr">
        <is>
          <t>T20054311</t>
        </is>
      </c>
      <c r="C582" s="23" t="inlineStr">
        <is>
          <t>Incomplete Data</t>
        </is>
      </c>
    </row>
    <row r="583">
      <c r="A583" s="23" t="inlineStr">
        <is>
          <t>1602 N L Street</t>
        </is>
      </c>
      <c r="B583" s="23" t="inlineStr">
        <is>
          <t>R11158396</t>
        </is>
      </c>
      <c r="C583" s="23" t="inlineStr">
        <is>
          <t>Incomplete Data</t>
        </is>
      </c>
    </row>
    <row r="584">
      <c r="A584" s="23" t="inlineStr">
        <is>
          <t>1905 Lake Worth Road</t>
        </is>
      </c>
      <c r="B584" s="23" t="inlineStr">
        <is>
          <t>R11150681</t>
        </is>
      </c>
      <c r="C584" s="23" t="inlineStr">
        <is>
          <t>Incomplete Data</t>
        </is>
      </c>
    </row>
    <row r="585">
      <c r="A585" s="23" t="inlineStr">
        <is>
          <t>2935 Lake Worth Road</t>
        </is>
      </c>
      <c r="B585" s="23" t="inlineStr">
        <is>
          <t>R11152199</t>
        </is>
      </c>
      <c r="C585" s="23" t="inlineStr">
        <is>
          <t>Incomplete Data</t>
        </is>
      </c>
    </row>
    <row r="586">
      <c r="A586" s="23" t="inlineStr">
        <is>
          <t>130 S Lakeside 1 Drive</t>
        </is>
      </c>
      <c r="B586" s="23" t="inlineStr">
        <is>
          <t>R11057260</t>
        </is>
      </c>
      <c r="C586" s="23" t="inlineStr">
        <is>
          <t>Incomplete Data</t>
        </is>
      </c>
    </row>
    <row r="587">
      <c r="A587" s="23" t="inlineStr">
        <is>
          <t>318 N Lakeside Court</t>
        </is>
      </c>
      <c r="B587" s="23" t="inlineStr">
        <is>
          <t>R11164582</t>
        </is>
      </c>
      <c r="C587" s="23" t="inlineStr">
        <is>
          <t>Incomplete Data</t>
        </is>
      </c>
    </row>
    <row r="588">
      <c r="A588" s="23" t="inlineStr">
        <is>
          <t>3681 Lakewood Road</t>
        </is>
      </c>
      <c r="B588" s="23" t="inlineStr">
        <is>
          <t>R11133927</t>
        </is>
      </c>
      <c r="C588" s="23" t="inlineStr">
        <is>
          <t>Incomplete Data</t>
        </is>
      </c>
    </row>
    <row r="589">
      <c r="A589" s="23" t="inlineStr">
        <is>
          <t>4363 Lakewood Road Unit#A</t>
        </is>
      </c>
      <c r="B589" s="23" t="inlineStr">
        <is>
          <t>R11133929</t>
        </is>
      </c>
      <c r="C589" s="23" t="inlineStr">
        <is>
          <t>Incomplete Data</t>
        </is>
      </c>
    </row>
    <row r="590">
      <c r="A590" s="23" t="inlineStr">
        <is>
          <t>825 W Las Olas Blvd</t>
        </is>
      </c>
      <c r="B590" s="23" t="inlineStr">
        <is>
          <t>F10493307</t>
        </is>
      </c>
      <c r="C590" s="23" t="inlineStr">
        <is>
          <t>Incomplete Data</t>
        </is>
      </c>
    </row>
    <row r="591">
      <c r="A591" s="23" t="inlineStr">
        <is>
          <t>715 W las olas blvd #1-2</t>
        </is>
      </c>
      <c r="B591" s="23" t="inlineStr">
        <is>
          <t>F10444804</t>
        </is>
      </c>
      <c r="C591" s="23" t="inlineStr">
        <is>
          <t>Incomplete Data</t>
        </is>
      </c>
    </row>
    <row r="592">
      <c r="A592" s="23" t="inlineStr">
        <is>
          <t>2739 Lincoln St</t>
        </is>
      </c>
      <c r="B592" s="23" t="inlineStr">
        <is>
          <t>F10515780</t>
        </is>
      </c>
      <c r="C592" s="23" t="inlineStr">
        <is>
          <t>Incomplete Data</t>
        </is>
      </c>
    </row>
    <row r="593">
      <c r="A593" s="23" t="inlineStr">
        <is>
          <t>1332 Longwood Street</t>
        </is>
      </c>
      <c r="B593" s="23" t="inlineStr">
        <is>
          <t>R11129771</t>
        </is>
      </c>
      <c r="C593" s="23" t="inlineStr">
        <is>
          <t>Incomplete Data</t>
        </is>
      </c>
    </row>
    <row r="594">
      <c r="A594" s="23" t="inlineStr">
        <is>
          <t>319 S M Street Unit#1</t>
        </is>
      </c>
      <c r="B594" s="23" t="inlineStr">
        <is>
          <t>R11153031</t>
        </is>
      </c>
      <c r="C594" s="23" t="inlineStr">
        <is>
          <t>Incomplete Data</t>
        </is>
      </c>
    </row>
    <row r="595">
      <c r="A595" s="23" t="inlineStr">
        <is>
          <t>727 S M Street</t>
        </is>
      </c>
      <c r="B595" s="23" t="inlineStr">
        <is>
          <t>R11125981</t>
        </is>
      </c>
      <c r="C595" s="23" t="inlineStr">
        <is>
          <t>Incomplete Data</t>
        </is>
      </c>
    </row>
    <row r="596">
      <c r="A596" s="23" t="inlineStr">
        <is>
          <t>4411 Maine Street</t>
        </is>
      </c>
      <c r="B596" s="23" t="inlineStr">
        <is>
          <t>R11157417</t>
        </is>
      </c>
      <c r="C596" s="23" t="inlineStr">
        <is>
          <t>Incomplete Data</t>
        </is>
      </c>
    </row>
    <row r="597">
      <c r="A597" s="23" t="inlineStr">
        <is>
          <t>505 Malverne Rd</t>
        </is>
      </c>
      <c r="B597" s="23" t="inlineStr">
        <is>
          <t>A11910682</t>
        </is>
      </c>
      <c r="C597" s="23" t="inlineStr">
        <is>
          <t>Incomplete Data</t>
        </is>
      </c>
    </row>
    <row r="598">
      <c r="A598" s="23" t="inlineStr">
        <is>
          <t>4647 Marguerita Street</t>
        </is>
      </c>
      <c r="B598" s="23" t="inlineStr">
        <is>
          <t>R11163848</t>
        </is>
      </c>
      <c r="C598" s="23" t="inlineStr">
        <is>
          <t>Incomplete Data</t>
        </is>
      </c>
    </row>
    <row r="599">
      <c r="A599" s="23" t="inlineStr">
        <is>
          <t>1784 Marseille Dr</t>
        </is>
      </c>
      <c r="B599" s="23" t="inlineStr">
        <is>
          <t>A11870858</t>
        </is>
      </c>
      <c r="C599" s="23" t="inlineStr">
        <is>
          <t>Incomplete Data</t>
        </is>
      </c>
    </row>
    <row r="600">
      <c r="A600" s="23" t="inlineStr">
        <is>
          <t>752 Martin Luther King Boulevard Unit#1-5</t>
        </is>
      </c>
      <c r="B600" s="23" t="inlineStr">
        <is>
          <t>R11156558</t>
        </is>
      </c>
      <c r="C600" s="23" t="inlineStr">
        <is>
          <t>Incomplete Data</t>
        </is>
      </c>
    </row>
    <row r="601">
      <c r="A601" s="23" t="inlineStr">
        <is>
          <t>528-530 Mayflower Road Unit#528-530</t>
        </is>
      </c>
      <c r="B601" s="23" t="inlineStr">
        <is>
          <t>R11164928</t>
        </is>
      </c>
      <c r="C601" s="23" t="inlineStr">
        <is>
          <t>Incomplete Data</t>
        </is>
      </c>
    </row>
    <row r="602">
      <c r="A602" s="23" t="inlineStr">
        <is>
          <t>1040 Miami Boulevard Unit#1,2,3</t>
        </is>
      </c>
      <c r="B602" s="23" t="inlineStr">
        <is>
          <t>R11156498</t>
        </is>
      </c>
      <c r="C602" s="23" t="inlineStr">
        <is>
          <t>Incomplete Data</t>
        </is>
      </c>
    </row>
    <row r="603">
      <c r="A603" s="23" t="inlineStr">
        <is>
          <t>15165 Michelangelo Boulevard Unit#108</t>
        </is>
      </c>
      <c r="B603" s="23" t="inlineStr">
        <is>
          <t>R11150015</t>
        </is>
      </c>
      <c r="C603" s="23" t="inlineStr">
        <is>
          <t>Incomplete Data</t>
        </is>
      </c>
    </row>
    <row r="604">
      <c r="A604" s="23" t="inlineStr">
        <is>
          <t>15165 Michelangelo Boulevard Unit#108</t>
        </is>
      </c>
      <c r="B604" s="23" t="inlineStr">
        <is>
          <t>R11150014</t>
        </is>
      </c>
      <c r="C604" s="23" t="inlineStr">
        <is>
          <t>Incomplete Data</t>
        </is>
      </c>
    </row>
    <row r="605">
      <c r="A605" s="23" t="inlineStr">
        <is>
          <t>2716 Middle River Dr</t>
        </is>
      </c>
      <c r="B605" s="23" t="inlineStr">
        <is>
          <t>F10552717</t>
        </is>
      </c>
      <c r="C605" s="23" t="inlineStr">
        <is>
          <t>Incomplete Data</t>
        </is>
      </c>
    </row>
    <row r="606">
      <c r="A606" s="23" t="inlineStr">
        <is>
          <t>626 Minnesota Street</t>
        </is>
      </c>
      <c r="B606" s="23" t="inlineStr">
        <is>
          <t>R11116439</t>
        </is>
      </c>
      <c r="C606" s="23" t="inlineStr">
        <is>
          <t>Incomplete Data</t>
        </is>
      </c>
    </row>
    <row r="607">
      <c r="A607" s="23" t="inlineStr">
        <is>
          <t>2140 Monroe Terrace</t>
        </is>
      </c>
      <c r="B607" s="23" t="inlineStr">
        <is>
          <t>R11154745</t>
        </is>
      </c>
      <c r="C607" s="23" t="inlineStr">
        <is>
          <t>Incomplete Data</t>
        </is>
      </c>
    </row>
    <row r="608">
      <c r="A608" s="23" t="inlineStr">
        <is>
          <t>812 S N Street</t>
        </is>
      </c>
      <c r="B608" s="23" t="inlineStr">
        <is>
          <t>R11161766</t>
        </is>
      </c>
      <c r="C608" s="23" t="inlineStr">
        <is>
          <t>Incomplete Data</t>
        </is>
      </c>
    </row>
    <row r="609">
      <c r="A609" s="23" t="inlineStr">
        <is>
          <t>909 S N Street</t>
        </is>
      </c>
      <c r="B609" s="23" t="inlineStr">
        <is>
          <t>R11116432</t>
        </is>
      </c>
      <c r="C609" s="23" t="inlineStr">
        <is>
          <t>Incomplete Data</t>
        </is>
      </c>
    </row>
    <row r="610">
      <c r="A610" s="23" t="inlineStr">
        <is>
          <t>4154 Narcissus Avenue</t>
        </is>
      </c>
      <c r="B610" s="23" t="inlineStr">
        <is>
          <t>R11151785</t>
        </is>
      </c>
      <c r="C610" s="23" t="inlineStr">
        <is>
          <t>Incomplete Data</t>
        </is>
      </c>
    </row>
    <row r="611">
      <c r="A611" s="23" t="inlineStr">
        <is>
          <t>516 Nathan Hale Road</t>
        </is>
      </c>
      <c r="B611" s="23" t="inlineStr">
        <is>
          <t>R11114610</t>
        </is>
      </c>
      <c r="C611" s="23" t="inlineStr">
        <is>
          <t>Incomplete Data</t>
        </is>
      </c>
    </row>
    <row r="612">
      <c r="A612" s="23" t="inlineStr">
        <is>
          <t>1765 Normandy Dr</t>
        </is>
      </c>
      <c r="B612" s="23" t="inlineStr">
        <is>
          <t>A11956311</t>
        </is>
      </c>
      <c r="C612" s="23" t="inlineStr">
        <is>
          <t>Incomplete Data</t>
        </is>
      </c>
    </row>
    <row r="613">
      <c r="A613" s="23" t="inlineStr">
        <is>
          <t>1275 NW 27 Ave</t>
        </is>
      </c>
      <c r="B613" s="23" t="inlineStr">
        <is>
          <t>F10555860</t>
        </is>
      </c>
      <c r="C613" s="23" t="inlineStr">
        <is>
          <t>Incomplete Data</t>
        </is>
      </c>
    </row>
    <row r="614">
      <c r="A614" s="23" t="inlineStr">
        <is>
          <t>620 Oak St</t>
        </is>
      </c>
      <c r="B614" s="23" t="inlineStr">
        <is>
          <t>F10528305</t>
        </is>
      </c>
      <c r="C614" s="23" t="inlineStr">
        <is>
          <t>Incomplete Data</t>
        </is>
      </c>
    </row>
    <row r="615">
      <c r="A615" s="23" t="inlineStr">
        <is>
          <t>4548 N Ocean</t>
        </is>
      </c>
      <c r="B615" s="23" t="inlineStr">
        <is>
          <t>F10472240</t>
        </is>
      </c>
      <c r="C615" s="23" t="inlineStr">
        <is>
          <t>Incomplete Data</t>
        </is>
      </c>
    </row>
    <row r="616">
      <c r="A616" s="23" t="inlineStr">
        <is>
          <t xml:space="preserve">213-215 S Ocean Breeze </t>
        </is>
      </c>
      <c r="B616" s="23" t="inlineStr">
        <is>
          <t>R11112281</t>
        </is>
      </c>
      <c r="C616" s="23" t="inlineStr">
        <is>
          <t>Incomplete Data</t>
        </is>
      </c>
    </row>
    <row r="617">
      <c r="A617" s="23" t="inlineStr">
        <is>
          <t>941 Ocean Drive</t>
        </is>
      </c>
      <c r="B617" s="23" t="inlineStr">
        <is>
          <t>R11144056</t>
        </is>
      </c>
      <c r="C617" s="23" t="inlineStr">
        <is>
          <t>Incomplete Data</t>
        </is>
      </c>
    </row>
    <row r="618">
      <c r="A618" s="23" t="inlineStr">
        <is>
          <t>736 Omar Road</t>
        </is>
      </c>
      <c r="B618" s="23" t="inlineStr">
        <is>
          <t>R11164329</t>
        </is>
      </c>
      <c r="C618" s="23" t="inlineStr">
        <is>
          <t>Incomplete Data</t>
        </is>
      </c>
    </row>
    <row r="619">
      <c r="A619" s="23" t="inlineStr">
        <is>
          <t>924 Orange Isle Isle(s) Unit#924-926</t>
        </is>
      </c>
      <c r="B619" s="23" t="inlineStr">
        <is>
          <t>R11126563</t>
        </is>
      </c>
      <c r="C619" s="23" t="inlineStr">
        <is>
          <t>Incomplete Data</t>
        </is>
      </c>
    </row>
    <row r="620">
      <c r="A620" s="23" t="inlineStr">
        <is>
          <t>334 Oregon Street Unit#1-5</t>
        </is>
      </c>
      <c r="B620" s="23" t="inlineStr">
        <is>
          <t>R11158180</t>
        </is>
      </c>
      <c r="C620" s="23" t="inlineStr">
        <is>
          <t>Incomplete Data</t>
        </is>
      </c>
    </row>
    <row r="621">
      <c r="A621" s="23" t="inlineStr">
        <is>
          <t>126 N Palmway  Unit#1-3</t>
        </is>
      </c>
      <c r="B621" s="23" t="inlineStr">
        <is>
          <t>R11142951</t>
        </is>
      </c>
      <c r="C621" s="23" t="inlineStr">
        <is>
          <t>Incomplete Data</t>
        </is>
      </c>
    </row>
    <row r="622">
      <c r="A622" s="23" t="inlineStr">
        <is>
          <t>226 S Palmway  Unit#1</t>
        </is>
      </c>
      <c r="B622" s="23" t="inlineStr">
        <is>
          <t>R11152490</t>
        </is>
      </c>
      <c r="C622" s="23" t="inlineStr">
        <is>
          <t>Incomplete Data</t>
        </is>
      </c>
    </row>
    <row r="623">
      <c r="A623" s="23" t="inlineStr">
        <is>
          <t>606 S Pine Street</t>
        </is>
      </c>
      <c r="B623" s="23" t="inlineStr">
        <is>
          <t>R11168436</t>
        </is>
      </c>
      <c r="C623" s="23" t="inlineStr">
        <is>
          <t>Incomplete Data</t>
        </is>
      </c>
    </row>
    <row r="624">
      <c r="A624" s="23" t="inlineStr">
        <is>
          <t>4528 Poinciana St</t>
        </is>
      </c>
      <c r="B624" s="23" t="inlineStr">
        <is>
          <t>F10537304</t>
        </is>
      </c>
      <c r="C624" s="23" t="inlineStr">
        <is>
          <t>Incomplete Data</t>
        </is>
      </c>
    </row>
    <row r="625">
      <c r="A625" s="23" t="inlineStr">
        <is>
          <t>2327 Polk Street Unit#A-B</t>
        </is>
      </c>
      <c r="B625" s="23" t="inlineStr">
        <is>
          <t>R11160949</t>
        </is>
      </c>
      <c r="C625" s="23" t="inlineStr">
        <is>
          <t>Incomplete Data</t>
        </is>
      </c>
    </row>
    <row r="626">
      <c r="A626" s="23" t="inlineStr">
        <is>
          <t>1390 Riverland Rd</t>
        </is>
      </c>
      <c r="B626" s="23" t="inlineStr">
        <is>
          <t>F10555271</t>
        </is>
      </c>
      <c r="C626" s="23" t="inlineStr">
        <is>
          <t>Incomplete Data</t>
        </is>
      </c>
    </row>
    <row r="627">
      <c r="A627" s="23" t="inlineStr">
        <is>
          <t>3502 Riverside Dr</t>
        </is>
      </c>
      <c r="B627" s="23" t="inlineStr">
        <is>
          <t>F10542493</t>
        </is>
      </c>
      <c r="C627" s="23" t="inlineStr">
        <is>
          <t>Incomplete Data</t>
        </is>
      </c>
    </row>
    <row r="628">
      <c r="A628" s="23" t="inlineStr">
        <is>
          <t>4117 Riverside Dr</t>
        </is>
      </c>
      <c r="B628" s="23" t="inlineStr">
        <is>
          <t>F10554842</t>
        </is>
      </c>
      <c r="C628" s="23" t="inlineStr">
        <is>
          <t>Incomplete Data</t>
        </is>
      </c>
    </row>
    <row r="629">
      <c r="A629" s="23" t="inlineStr">
        <is>
          <t>1020 N Riverside Drive</t>
        </is>
      </c>
      <c r="B629" s="23" t="inlineStr">
        <is>
          <t>R11155485</t>
        </is>
      </c>
      <c r="C629" s="23" t="inlineStr">
        <is>
          <t>Incomplete Data</t>
        </is>
      </c>
    </row>
    <row r="630">
      <c r="A630" s="23" t="inlineStr">
        <is>
          <t>4115 Riverside Drive Unit#1-5</t>
        </is>
      </c>
      <c r="B630" s="23" t="inlineStr">
        <is>
          <t>R11152708</t>
        </is>
      </c>
      <c r="C630" s="23" t="inlineStr">
        <is>
          <t>Incomplete Data</t>
        </is>
      </c>
    </row>
    <row r="631">
      <c r="A631" s="23" t="inlineStr">
        <is>
          <t>736 Rockland Drive</t>
        </is>
      </c>
      <c r="B631" s="23" t="inlineStr">
        <is>
          <t>R11154605</t>
        </is>
      </c>
      <c r="C631" s="23" t="inlineStr">
        <is>
          <t>Incomplete Data</t>
        </is>
      </c>
    </row>
    <row r="632">
      <c r="A632" s="23" t="inlineStr">
        <is>
          <t>2447 Roosevelt St</t>
        </is>
      </c>
      <c r="B632" s="23" t="inlineStr">
        <is>
          <t>F10534724</t>
        </is>
      </c>
      <c r="C632" s="23" t="inlineStr">
        <is>
          <t>Incomplete Data</t>
        </is>
      </c>
    </row>
    <row r="633">
      <c r="A633" s="23" t="inlineStr">
        <is>
          <t xml:space="preserve">7025 Rue Granville </t>
        </is>
      </c>
      <c r="B633" s="23" t="inlineStr">
        <is>
          <t>R11156813</t>
        </is>
      </c>
      <c r="C633" s="23" t="inlineStr">
        <is>
          <t>Incomplete Data</t>
        </is>
      </c>
    </row>
    <row r="634">
      <c r="A634" s="23" t="inlineStr">
        <is>
          <t xml:space="preserve">7035 Rue Granville </t>
        </is>
      </c>
      <c r="B634" s="23" t="inlineStr">
        <is>
          <t>R11156837</t>
        </is>
      </c>
      <c r="C634" s="23" t="inlineStr">
        <is>
          <t>Incomplete Data</t>
        </is>
      </c>
    </row>
    <row r="635">
      <c r="A635" s="23" t="inlineStr">
        <is>
          <t>1302 S S Federal Hwy Highway</t>
        </is>
      </c>
      <c r="B635" s="23" t="inlineStr">
        <is>
          <t>R11159855</t>
        </is>
      </c>
      <c r="C635" s="23" t="inlineStr">
        <is>
          <t>Incomplete Data</t>
        </is>
      </c>
    </row>
    <row r="636">
      <c r="A636" s="23" t="inlineStr">
        <is>
          <t>156 Santa Barbara Way</t>
        </is>
      </c>
      <c r="B636" s="23" t="inlineStr">
        <is>
          <t>R11139526</t>
        </is>
      </c>
      <c r="C636" s="23" t="inlineStr">
        <is>
          <t>Incomplete Data</t>
        </is>
      </c>
    </row>
    <row r="637">
      <c r="A637" s="23" t="inlineStr">
        <is>
          <t>4436 Seagrape Dr</t>
        </is>
      </c>
      <c r="B637" s="23" t="inlineStr">
        <is>
          <t>F10542774</t>
        </is>
      </c>
      <c r="C637" s="23" t="inlineStr">
        <is>
          <t>Incomplete Data</t>
        </is>
      </c>
    </row>
    <row r="638">
      <c r="A638" s="23" t="inlineStr">
        <is>
          <t>920 Selkirk St</t>
        </is>
      </c>
      <c r="B638" s="23" t="inlineStr">
        <is>
          <t>F10555730</t>
        </is>
      </c>
      <c r="C638" s="23" t="inlineStr">
        <is>
          <t>Incomplete Data</t>
        </is>
      </c>
    </row>
    <row r="639">
      <c r="A639" s="23" t="inlineStr">
        <is>
          <t>1914 Sheridan Street Unit#1-2</t>
        </is>
      </c>
      <c r="B639" s="23" t="inlineStr">
        <is>
          <t>R11163651</t>
        </is>
      </c>
      <c r="C639" s="23" t="inlineStr">
        <is>
          <t>Incomplete Data</t>
        </is>
      </c>
    </row>
    <row r="640">
      <c r="A640" s="23" t="inlineStr">
        <is>
          <t>2432 Sherman St</t>
        </is>
      </c>
      <c r="B640" s="23" t="inlineStr">
        <is>
          <t>F10543163</t>
        </is>
      </c>
      <c r="C640" s="23" t="inlineStr">
        <is>
          <t>Incomplete Data</t>
        </is>
      </c>
    </row>
    <row r="641">
      <c r="A641" s="23" t="inlineStr">
        <is>
          <t>1883 Smith Drive</t>
        </is>
      </c>
      <c r="B641" s="23" t="inlineStr">
        <is>
          <t>R11130701</t>
        </is>
      </c>
      <c r="C641" s="23" t="inlineStr">
        <is>
          <t>Incomplete Data</t>
        </is>
      </c>
    </row>
    <row r="642">
      <c r="A642" s="23" t="inlineStr">
        <is>
          <t>1025 Staghorn Street Street</t>
        </is>
      </c>
      <c r="B642" s="23" t="inlineStr">
        <is>
          <t>R11132941</t>
        </is>
      </c>
      <c r="C642" s="23" t="inlineStr">
        <is>
          <t>Incomplete Data</t>
        </is>
      </c>
    </row>
    <row r="643">
      <c r="A643" s="23" t="inlineStr">
        <is>
          <t>2800 W Sunrise Blvd</t>
        </is>
      </c>
      <c r="B643" s="23" t="inlineStr">
        <is>
          <t>F10550764</t>
        </is>
      </c>
      <c r="C643" s="23" t="inlineStr">
        <is>
          <t>Incomplete Data</t>
        </is>
      </c>
    </row>
    <row r="644">
      <c r="A644" s="23" t="inlineStr">
        <is>
          <t>5285 Sunrise Boulevard</t>
        </is>
      </c>
      <c r="B644" s="23" t="inlineStr">
        <is>
          <t>R11135087</t>
        </is>
      </c>
      <c r="C644" s="23" t="inlineStr">
        <is>
          <t>Incomplete Data</t>
        </is>
      </c>
    </row>
    <row r="645">
      <c r="A645" s="23" t="inlineStr">
        <is>
          <t>2203 N Surf Rd</t>
        </is>
      </c>
      <c r="B645" s="23" t="inlineStr">
        <is>
          <t>F10544942</t>
        </is>
      </c>
      <c r="C645" s="23" t="inlineStr">
        <is>
          <t>Incomplete Data</t>
        </is>
      </c>
    </row>
    <row r="646">
      <c r="A646" s="23" t="inlineStr">
        <is>
          <t>4170 Sussex Avenue</t>
        </is>
      </c>
      <c r="B646" s="23" t="inlineStr">
        <is>
          <t>R11155731</t>
        </is>
      </c>
      <c r="C646" s="23" t="inlineStr">
        <is>
          <t>Incomplete Data</t>
        </is>
      </c>
    </row>
    <row r="647">
      <c r="A647" s="23" t="inlineStr">
        <is>
          <t>215 N Swinton Avenue</t>
        </is>
      </c>
      <c r="B647" s="23" t="inlineStr">
        <is>
          <t>R11153482</t>
        </is>
      </c>
      <c r="C647" s="23" t="inlineStr">
        <is>
          <t>Incomplete Data</t>
        </is>
      </c>
    </row>
    <row r="648">
      <c r="A648" s="23" t="inlineStr">
        <is>
          <t>1933 Taylor St</t>
        </is>
      </c>
      <c r="B648" s="23" t="inlineStr">
        <is>
          <t>F10554369</t>
        </is>
      </c>
      <c r="C648" s="23" t="inlineStr">
        <is>
          <t>Incomplete Data</t>
        </is>
      </c>
    </row>
    <row r="649">
      <c r="A649" s="23" t="inlineStr">
        <is>
          <t>2226 Taylor St</t>
        </is>
      </c>
      <c r="B649" s="23" t="inlineStr">
        <is>
          <t>F10535381</t>
        </is>
      </c>
      <c r="C649" s="23" t="inlineStr">
        <is>
          <t>Incomplete Data</t>
        </is>
      </c>
    </row>
    <row r="650">
      <c r="A650" s="23" t="inlineStr">
        <is>
          <t>2460 Taylor St</t>
        </is>
      </c>
      <c r="B650" s="23" t="inlineStr">
        <is>
          <t>F10540860</t>
        </is>
      </c>
      <c r="C650" s="23" t="inlineStr">
        <is>
          <t>Incomplete Data</t>
        </is>
      </c>
    </row>
    <row r="651">
      <c r="A651" s="23" t="inlineStr">
        <is>
          <t>5829 Taylor St</t>
        </is>
      </c>
      <c r="B651" s="23" t="inlineStr">
        <is>
          <t>F10549351</t>
        </is>
      </c>
      <c r="C651" s="23" t="inlineStr">
        <is>
          <t>Incomplete Data</t>
        </is>
      </c>
    </row>
    <row r="652">
      <c r="A652" s="23" t="inlineStr">
        <is>
          <t>800 Tropic Boulevard</t>
        </is>
      </c>
      <c r="B652" s="23" t="inlineStr">
        <is>
          <t>R11134489</t>
        </is>
      </c>
      <c r="C652" s="23" t="inlineStr">
        <is>
          <t>Incomplete Data</t>
        </is>
      </c>
    </row>
    <row r="653">
      <c r="A653" s="23" t="inlineStr">
        <is>
          <t>1 Tropical Drive</t>
        </is>
      </c>
      <c r="B653" s="23" t="inlineStr">
        <is>
          <t>R11151426</t>
        </is>
      </c>
      <c r="C653" s="23" t="inlineStr">
        <is>
          <t>Incomplete Data</t>
        </is>
      </c>
    </row>
    <row r="654">
      <c r="A654" s="23" t="inlineStr">
        <is>
          <t>711 Truman Avenue</t>
        </is>
      </c>
      <c r="B654" s="23" t="inlineStr">
        <is>
          <t>R11158021</t>
        </is>
      </c>
      <c r="C654" s="23" t="inlineStr">
        <is>
          <t>Incomplete Data</t>
        </is>
      </c>
    </row>
    <row r="655">
      <c r="A655" s="23" t="inlineStr">
        <is>
          <t>804 N Victoria Park Rd</t>
        </is>
      </c>
      <c r="B655" s="23" t="inlineStr">
        <is>
          <t>F10552378</t>
        </is>
      </c>
      <c r="C655" s="23" t="inlineStr">
        <is>
          <t>Incomplete Data</t>
        </is>
      </c>
    </row>
    <row r="656">
      <c r="A656" s="23" t="inlineStr">
        <is>
          <t>443 Wilder Street</t>
        </is>
      </c>
      <c r="B656" s="23" t="inlineStr">
        <is>
          <t>R11139244</t>
        </is>
      </c>
      <c r="C656" s="23" t="inlineStr">
        <is>
          <t>Incomplete Data</t>
        </is>
      </c>
    </row>
    <row r="657">
      <c r="A657" s="23" t="inlineStr">
        <is>
          <t>311 Wildermere Road</t>
        </is>
      </c>
      <c r="B657" s="23" t="inlineStr">
        <is>
          <t>R11127544</t>
        </is>
      </c>
      <c r="C657" s="23" t="inlineStr">
        <is>
          <t>Incomplete Data</t>
        </is>
      </c>
    </row>
    <row r="658">
      <c r="A658" s="23" t="inlineStr">
        <is>
          <t>1636 Wilson St</t>
        </is>
      </c>
      <c r="B658" s="23" t="inlineStr">
        <is>
          <t>F10541464</t>
        </is>
      </c>
      <c r="C658" s="23" t="inlineStr">
        <is>
          <t>Incomplete Data</t>
        </is>
      </c>
    </row>
    <row r="659">
      <c r="A659" s="23" t="inlineStr">
        <is>
          <t>4000 NW Woodside DR</t>
        </is>
      </c>
      <c r="B659" s="23" t="inlineStr">
        <is>
          <t>F10519139</t>
        </is>
      </c>
      <c r="C659" s="23" t="inlineStr">
        <is>
          <t>Incomplete Data</t>
        </is>
      </c>
    </row>
    <row r="660">
      <c r="A660" s="23" t="inlineStr">
        <is>
          <t>4017 Woodside Dr 1-2</t>
        </is>
      </c>
      <c r="B660" s="23" t="inlineStr">
        <is>
          <t>F10530987</t>
        </is>
      </c>
      <c r="C660" s="23" t="inlineStr">
        <is>
          <t>Incomplete Data</t>
        </is>
      </c>
    </row>
    <row r="661">
      <c r="A661" s="23" t="inlineStr">
        <is>
          <t>1535 SW 2nd St</t>
        </is>
      </c>
      <c r="B661" s="23" t="inlineStr">
        <is>
          <t>A11931155</t>
        </is>
      </c>
      <c r="C661" s="24" t="inlineStr">
        <is>
          <t>STR Income — excluded from Top 3</t>
        </is>
      </c>
    </row>
    <row r="662">
      <c r="A662" s="23" t="inlineStr">
        <is>
          <t>1319 NE 13th Ave</t>
        </is>
      </c>
      <c r="B662" s="23" t="inlineStr">
        <is>
          <t>A11934262</t>
        </is>
      </c>
      <c r="C662" s="24" t="inlineStr">
        <is>
          <t>STR Income — excluded from Top 3</t>
        </is>
      </c>
    </row>
    <row r="663">
      <c r="A663" s="23" t="inlineStr">
        <is>
          <t>312 Elm St</t>
        </is>
      </c>
      <c r="B663" s="23" t="inlineStr">
        <is>
          <t>A11901052</t>
        </is>
      </c>
      <c r="C663" s="24" t="inlineStr">
        <is>
          <t>STR Income — excluded from Top 3</t>
        </is>
      </c>
    </row>
    <row r="664">
      <c r="A664" s="23" t="inlineStr">
        <is>
          <t>322 Oklahoma St</t>
        </is>
      </c>
      <c r="B664" s="23" t="inlineStr">
        <is>
          <t>A11907929</t>
        </is>
      </c>
      <c r="C664" s="24" t="inlineStr">
        <is>
          <t>STR Income — excluded from Top 3</t>
        </is>
      </c>
    </row>
    <row r="665">
      <c r="A665" s="23" t="inlineStr">
        <is>
          <t>859 NE 90th St</t>
        </is>
      </c>
      <c r="B665" s="23" t="inlineStr">
        <is>
          <t>A11933100</t>
        </is>
      </c>
      <c r="C665" s="24" t="inlineStr">
        <is>
          <t>STR Income — excluded from Top 3</t>
        </is>
      </c>
    </row>
    <row r="666">
      <c r="A666" s="23" t="inlineStr">
        <is>
          <t>18825 Atlantic Blvd</t>
        </is>
      </c>
      <c r="B666" s="23" t="inlineStr">
        <is>
          <t>A11768877</t>
        </is>
      </c>
      <c r="C666" s="24" t="inlineStr">
        <is>
          <t>STR Income — excluded from Top 3</t>
        </is>
      </c>
    </row>
    <row r="667">
      <c r="A667" s="23" t="inlineStr">
        <is>
          <t>29 Oviedo Ave</t>
        </is>
      </c>
      <c r="B667" s="23" t="inlineStr">
        <is>
          <t>A11882851</t>
        </is>
      </c>
      <c r="C667" s="24" t="inlineStr">
        <is>
          <t>STR Income — excluded from Top 3</t>
        </is>
      </c>
    </row>
    <row r="668">
      <c r="A668" s="23" t="inlineStr">
        <is>
          <t>256 NW 57th St</t>
        </is>
      </c>
      <c r="B668" s="23" t="inlineStr">
        <is>
          <t>A11906273</t>
        </is>
      </c>
      <c r="C668" s="24" t="inlineStr">
        <is>
          <t>STR Income — excluded from Top 3</t>
        </is>
      </c>
    </row>
    <row r="669">
      <c r="A669" s="23" t="inlineStr">
        <is>
          <t>1922 Garfield St</t>
        </is>
      </c>
      <c r="B669" s="23" t="inlineStr">
        <is>
          <t>A11962673</t>
        </is>
      </c>
      <c r="C669" s="24" t="inlineStr">
        <is>
          <t>STR Income — excluded from Top 3</t>
        </is>
      </c>
    </row>
    <row r="670">
      <c r="A670" s="23" t="inlineStr">
        <is>
          <t>1622 Bay Rd</t>
        </is>
      </c>
      <c r="B670" s="23" t="inlineStr">
        <is>
          <t>A11707810</t>
        </is>
      </c>
      <c r="C670" s="24" t="inlineStr">
        <is>
          <t>STR Income — excluded from Top 3</t>
        </is>
      </c>
    </row>
    <row r="671">
      <c r="A671" s="23" t="inlineStr">
        <is>
          <t>338 Roosevelt St</t>
        </is>
      </c>
      <c r="B671" s="23" t="inlineStr">
        <is>
          <t>A11806623</t>
        </is>
      </c>
      <c r="C671" s="24" t="inlineStr">
        <is>
          <t>STR Income — excluded from Top 3</t>
        </is>
      </c>
    </row>
    <row r="672">
      <c r="A672" s="23" t="inlineStr">
        <is>
          <t>18815 Atlantic Blvd</t>
        </is>
      </c>
      <c r="B672" s="23" t="inlineStr">
        <is>
          <t>A11768898</t>
        </is>
      </c>
      <c r="C672" s="24" t="inlineStr">
        <is>
          <t>STR Income — excluded from Top 3</t>
        </is>
      </c>
    </row>
    <row r="673">
      <c r="A673" s="23" t="inlineStr">
        <is>
          <t>550 NW 30th St</t>
        </is>
      </c>
      <c r="B673" s="23" t="inlineStr">
        <is>
          <t>A11850757</t>
        </is>
      </c>
      <c r="C673" s="24" t="inlineStr">
        <is>
          <t>STR Income — excluded from Top 3</t>
        </is>
      </c>
    </row>
    <row r="674">
      <c r="A674" s="23" t="inlineStr">
        <is>
          <t>1297 NE 110th Ter</t>
        </is>
      </c>
      <c r="B674" s="23" t="inlineStr">
        <is>
          <t>A11971424</t>
        </is>
      </c>
      <c r="C674" s="24" t="inlineStr">
        <is>
          <t>STR Income — excluded from Top 3</t>
        </is>
      </c>
    </row>
    <row r="675">
      <c r="A675" s="23" t="inlineStr">
        <is>
          <t>7626 Harding Ave</t>
        </is>
      </c>
      <c r="B675" s="23" t="inlineStr">
        <is>
          <t>A11819477</t>
        </is>
      </c>
      <c r="C675" s="24" t="inlineStr">
        <is>
          <t>STR Income — excluded from Top 3</t>
        </is>
      </c>
    </row>
    <row r="676">
      <c r="A676" s="23" t="inlineStr">
        <is>
          <t>2490 SW 17th St</t>
        </is>
      </c>
      <c r="B676" s="23" t="inlineStr">
        <is>
          <t>A11956758</t>
        </is>
      </c>
      <c r="C676" s="24" t="inlineStr">
        <is>
          <t>STR Income — excluded from Top 3</t>
        </is>
      </c>
    </row>
    <row r="677">
      <c r="A677" s="23" t="inlineStr">
        <is>
          <t>458 E 20th St</t>
        </is>
      </c>
      <c r="B677" s="23" t="inlineStr">
        <is>
          <t>A11952893</t>
        </is>
      </c>
      <c r="C677" s="24" t="inlineStr">
        <is>
          <t>STR Income — excluded from Top 3</t>
        </is>
      </c>
    </row>
    <row r="678">
      <c r="A678" s="23" t="inlineStr">
        <is>
          <t>7320 Carlyle Ave</t>
        </is>
      </c>
      <c r="B678" s="23" t="inlineStr">
        <is>
          <t>A11882248</t>
        </is>
      </c>
      <c r="C678" s="24" t="inlineStr">
        <is>
          <t>STR Income — excluded from Top 3</t>
        </is>
      </c>
    </row>
    <row r="679">
      <c r="A679" s="23" t="inlineStr">
        <is>
          <t>1633 Tyler St</t>
        </is>
      </c>
      <c r="B679" s="23" t="inlineStr">
        <is>
          <t>A11968905</t>
        </is>
      </c>
      <c r="C679" s="24" t="inlineStr">
        <is>
          <t>STR Income — excluded from Top 3</t>
        </is>
      </c>
    </row>
    <row r="680">
      <c r="A680" s="23" t="inlineStr">
        <is>
          <t>1968 NW 25th Ave</t>
        </is>
      </c>
      <c r="B680" s="23" t="inlineStr">
        <is>
          <t>A11926893</t>
        </is>
      </c>
      <c r="C680" s="24" t="inlineStr">
        <is>
          <t>STR Income — excluded from Top 3</t>
        </is>
      </c>
    </row>
    <row r="681">
      <c r="A681" s="23" t="inlineStr">
        <is>
          <t>612 NW 10th Ter</t>
        </is>
      </c>
      <c r="B681" s="23" t="inlineStr">
        <is>
          <t>A11975415</t>
        </is>
      </c>
      <c r="C681" s="24" t="inlineStr">
        <is>
          <t>STR Income — excluded from Top 3</t>
        </is>
      </c>
    </row>
    <row r="682">
      <c r="A682" s="23" t="inlineStr">
        <is>
          <t>3181 NW 5th Ave</t>
        </is>
      </c>
      <c r="B682" s="23" t="inlineStr">
        <is>
          <t>A11899888</t>
        </is>
      </c>
      <c r="C682" s="24" t="inlineStr">
        <is>
          <t>STR Income — excluded from Top 3</t>
        </is>
      </c>
    </row>
    <row r="683">
      <c r="A683" s="23" t="inlineStr">
        <is>
          <t>1444 NE 13th Ave</t>
        </is>
      </c>
      <c r="B683" s="23" t="inlineStr">
        <is>
          <t>A11947974</t>
        </is>
      </c>
      <c r="C683" s="24" t="inlineStr">
        <is>
          <t>STR Income — excluded from Top 3</t>
        </is>
      </c>
    </row>
    <row r="684">
      <c r="A684" s="23" t="inlineStr">
        <is>
          <t>2915 SW 24 TE</t>
        </is>
      </c>
      <c r="B684" s="23" t="inlineStr">
        <is>
          <t>A11524802</t>
        </is>
      </c>
      <c r="C684" s="24" t="inlineStr">
        <is>
          <t>STR Income — excluded from Top 3</t>
        </is>
      </c>
    </row>
    <row r="685">
      <c r="A685" s="23" t="inlineStr">
        <is>
          <t>2371 SW 27th St</t>
        </is>
      </c>
      <c r="B685" s="23" t="inlineStr">
        <is>
          <t>A11859107</t>
        </is>
      </c>
      <c r="C685" s="24" t="inlineStr">
        <is>
          <t>STR Income — excluded from Top 3</t>
        </is>
      </c>
    </row>
    <row r="686">
      <c r="A686" s="23" t="inlineStr">
        <is>
          <t>3389 NW 14th Ave</t>
        </is>
      </c>
      <c r="B686" s="23" t="inlineStr">
        <is>
          <t>A11967006</t>
        </is>
      </c>
      <c r="C686" s="24" t="inlineStr">
        <is>
          <t>STR Income — excluded from Top 3</t>
        </is>
      </c>
    </row>
    <row r="687">
      <c r="A687" s="23" t="inlineStr">
        <is>
          <t>169 NE 69th St</t>
        </is>
      </c>
      <c r="B687" s="23" t="inlineStr">
        <is>
          <t>A11915750</t>
        </is>
      </c>
      <c r="C687" s="24" t="inlineStr">
        <is>
          <t>STR Income — excluded from Top 3</t>
        </is>
      </c>
    </row>
    <row r="688">
      <c r="A688" s="23" t="inlineStr">
        <is>
          <t>20075 SW 87th Pl</t>
        </is>
      </c>
      <c r="B688" s="23" t="inlineStr">
        <is>
          <t>A11927950</t>
        </is>
      </c>
      <c r="C688" s="24" t="inlineStr">
        <is>
          <t>STR Income — excluded from Top 3</t>
        </is>
      </c>
    </row>
    <row r="689">
      <c r="A689" s="23" t="inlineStr">
        <is>
          <t>1821 NW 33rd St</t>
        </is>
      </c>
      <c r="B689" s="23" t="inlineStr">
        <is>
          <t>A11944416</t>
        </is>
      </c>
      <c r="C689" s="24" t="inlineStr">
        <is>
          <t>STR Income — excluded from Top 3</t>
        </is>
      </c>
    </row>
    <row r="690">
      <c r="A690" s="23" t="inlineStr">
        <is>
          <t>1770 NW 55th St</t>
        </is>
      </c>
      <c r="B690" s="23" t="inlineStr">
        <is>
          <t>A11922917</t>
        </is>
      </c>
      <c r="C690" s="24" t="inlineStr">
        <is>
          <t>STR Income — excluded from Top 3</t>
        </is>
      </c>
    </row>
    <row r="691">
      <c r="A691" s="23" t="inlineStr">
        <is>
          <t>1721 - 1725 SW 11th Ct</t>
        </is>
      </c>
      <c r="B691" s="23" t="inlineStr">
        <is>
          <t>A11952572</t>
        </is>
      </c>
      <c r="C691" s="24" t="inlineStr">
        <is>
          <t>STR Income — excluded from Top 3</t>
        </is>
      </c>
    </row>
    <row r="692">
      <c r="A692" s="23" t="inlineStr">
        <is>
          <t>2530 SW 27th St</t>
        </is>
      </c>
      <c r="B692" s="23" t="inlineStr">
        <is>
          <t>A11882259</t>
        </is>
      </c>
      <c r="C692" s="24" t="inlineStr">
        <is>
          <t>STR Income — excluded from Top 3</t>
        </is>
      </c>
    </row>
    <row r="693">
      <c r="A693" s="23" t="inlineStr">
        <is>
          <t>412 NE 4th Ave</t>
        </is>
      </c>
      <c r="B693" s="23" t="inlineStr">
        <is>
          <t>A11957950</t>
        </is>
      </c>
      <c r="C693" s="24" t="inlineStr">
        <is>
          <t>STR Income — excluded from Top 3</t>
        </is>
      </c>
    </row>
    <row r="694">
      <c r="A694" s="23" t="inlineStr">
        <is>
          <t>2001 N 22nd Avenue</t>
        </is>
      </c>
      <c r="B694" s="23" t="inlineStr">
        <is>
          <t>A11976507</t>
        </is>
      </c>
      <c r="C694" s="24" t="inlineStr">
        <is>
          <t>STR Income — excluded from Top 3</t>
        </is>
      </c>
    </row>
    <row r="695">
      <c r="A695" s="23" t="inlineStr">
        <is>
          <t>620 SW 13th Ave</t>
        </is>
      </c>
      <c r="B695" s="23" t="inlineStr">
        <is>
          <t>A11887342</t>
        </is>
      </c>
      <c r="C695" s="24" t="inlineStr">
        <is>
          <t>STR Income — excluded from Top 3</t>
        </is>
      </c>
    </row>
    <row r="696">
      <c r="A696" s="23" t="inlineStr">
        <is>
          <t>1232 SW 30th Pl</t>
        </is>
      </c>
      <c r="B696" s="23" t="inlineStr">
        <is>
          <t>A11965907</t>
        </is>
      </c>
      <c r="C696" s="24" t="inlineStr">
        <is>
          <t>STR Income — excluded from Top 3</t>
        </is>
      </c>
    </row>
    <row r="697">
      <c r="A697" s="23" t="inlineStr">
        <is>
          <t>1012 SW 3rd Ave</t>
        </is>
      </c>
      <c r="B697" s="23" t="inlineStr">
        <is>
          <t>A11816591</t>
        </is>
      </c>
      <c r="C697" s="24" t="inlineStr">
        <is>
          <t>STR Income — excluded from Top 3</t>
        </is>
      </c>
    </row>
    <row r="698">
      <c r="A698" s="23" t="inlineStr">
        <is>
          <t>2440 Hayes St # 1-5</t>
        </is>
      </c>
      <c r="B698" s="23" t="inlineStr">
        <is>
          <t>A11947968</t>
        </is>
      </c>
      <c r="C698" s="24" t="inlineStr">
        <is>
          <t>STR Income — excluded from Top 3</t>
        </is>
      </c>
    </row>
    <row r="699">
      <c r="A699" s="23" t="inlineStr">
        <is>
          <t>56 W 12th St</t>
        </is>
      </c>
      <c r="B699" s="23" t="inlineStr">
        <is>
          <t>A11939822</t>
        </is>
      </c>
      <c r="C699" s="24" t="inlineStr">
        <is>
          <t>STR Income — excluded from Top 3</t>
        </is>
      </c>
    </row>
    <row r="700">
      <c r="A700" s="23" t="inlineStr">
        <is>
          <t>505 SE 20th St</t>
        </is>
      </c>
      <c r="B700" s="23" t="inlineStr">
        <is>
          <t>A11832384</t>
        </is>
      </c>
      <c r="C700" s="24" t="inlineStr">
        <is>
          <t>STR Income — excluded from Top 3</t>
        </is>
      </c>
    </row>
    <row r="701">
      <c r="A701" s="23" t="inlineStr">
        <is>
          <t>3210 SW 24th Ter</t>
        </is>
      </c>
      <c r="B701" s="23" t="inlineStr">
        <is>
          <t>A11956425</t>
        </is>
      </c>
      <c r="C701" s="24" t="inlineStr">
        <is>
          <t>STR Income — excluded from Top 3</t>
        </is>
      </c>
    </row>
    <row r="702">
      <c r="A702" s="23" t="inlineStr">
        <is>
          <t>555 NE 70th St</t>
        </is>
      </c>
      <c r="B702" s="23" t="inlineStr">
        <is>
          <t>A11909813</t>
        </is>
      </c>
      <c r="C702" s="24" t="inlineStr">
        <is>
          <t>STR Income — excluded from Top 3</t>
        </is>
      </c>
    </row>
    <row r="703">
      <c r="A703" s="23" t="inlineStr">
        <is>
          <t>7820 Harding Ave</t>
        </is>
      </c>
      <c r="B703" s="23" t="inlineStr">
        <is>
          <t>A11937090</t>
        </is>
      </c>
      <c r="C703" s="24" t="inlineStr">
        <is>
          <t>STR Income — excluded from Top 3</t>
        </is>
      </c>
    </row>
    <row r="704">
      <c r="A704" s="23" t="inlineStr">
        <is>
          <t>876 SW 2nd St</t>
        </is>
      </c>
      <c r="B704" s="23" t="inlineStr">
        <is>
          <t>A11844463</t>
        </is>
      </c>
      <c r="C704" s="24" t="inlineStr">
        <is>
          <t>STR Income — excluded from Top 3</t>
        </is>
      </c>
    </row>
    <row r="705">
      <c r="A705" s="23" t="inlineStr">
        <is>
          <t>1112 NE 5th Ave</t>
        </is>
      </c>
      <c r="B705" s="23" t="inlineStr">
        <is>
          <t>A11943558</t>
        </is>
      </c>
      <c r="C705" s="24" t="inlineStr">
        <is>
          <t>STR Income — excluded from Top 3</t>
        </is>
      </c>
    </row>
    <row r="706">
      <c r="A706" s="23" t="inlineStr">
        <is>
          <t>7814 NW 5th Ct</t>
        </is>
      </c>
      <c r="B706" s="23" t="inlineStr">
        <is>
          <t>A11876984</t>
        </is>
      </c>
      <c r="C706" s="24" t="inlineStr">
        <is>
          <t>STR Income — excluded from Top 3</t>
        </is>
      </c>
    </row>
    <row r="707">
      <c r="A707" s="23" t="inlineStr">
        <is>
          <t>1925 Marseille Dr</t>
        </is>
      </c>
      <c r="B707" s="23" t="inlineStr">
        <is>
          <t>A11907523</t>
        </is>
      </c>
      <c r="C707" s="24" t="inlineStr">
        <is>
          <t>STR Income — excluded from Top 3</t>
        </is>
      </c>
    </row>
    <row r="708">
      <c r="A708" s="23" t="inlineStr">
        <is>
          <t>1250 NE 110th St</t>
        </is>
      </c>
      <c r="B708" s="23" t="inlineStr">
        <is>
          <t>A11947203</t>
        </is>
      </c>
      <c r="C708" s="24" t="inlineStr">
        <is>
          <t>STR Income — excluded from Top 3</t>
        </is>
      </c>
    </row>
    <row r="709">
      <c r="A709" s="23" t="inlineStr">
        <is>
          <t>1946 NW 49th St</t>
        </is>
      </c>
      <c r="B709" s="23" t="inlineStr">
        <is>
          <t>A11873021</t>
        </is>
      </c>
      <c r="C709" s="24" t="inlineStr">
        <is>
          <t>STR Income — excluded from Top 3</t>
        </is>
      </c>
    </row>
    <row r="710">
      <c r="A710" s="23" t="inlineStr">
        <is>
          <t>5010 NW 2nd Ave</t>
        </is>
      </c>
      <c r="B710" s="23" t="inlineStr">
        <is>
          <t>A11947228</t>
        </is>
      </c>
      <c r="C710" s="24" t="inlineStr">
        <is>
          <t>STR Income — excluded from Top 3</t>
        </is>
      </c>
    </row>
    <row r="711">
      <c r="A711" s="23" t="inlineStr">
        <is>
          <t>3741 SW 27th Ter</t>
        </is>
      </c>
      <c r="B711" s="23" t="inlineStr">
        <is>
          <t>A11938613</t>
        </is>
      </c>
      <c r="C711" s="24" t="inlineStr">
        <is>
          <t>STR Income — excluded from Top 3</t>
        </is>
      </c>
    </row>
    <row r="712">
      <c r="A712" s="23" t="inlineStr">
        <is>
          <t>1717 NE 12th St</t>
        </is>
      </c>
      <c r="B712" s="23" t="inlineStr">
        <is>
          <t>A11875467</t>
        </is>
      </c>
      <c r="C712" s="24" t="inlineStr">
        <is>
          <t>STR Income — excluded from Top 3</t>
        </is>
      </c>
    </row>
    <row r="713">
      <c r="A713" s="23" t="inlineStr">
        <is>
          <t>5821 NE 18th Ave</t>
        </is>
      </c>
      <c r="B713" s="23" t="inlineStr">
        <is>
          <t>A11948088</t>
        </is>
      </c>
      <c r="C713" s="24" t="inlineStr">
        <is>
          <t>STR Income — excluded from Top 3</t>
        </is>
      </c>
    </row>
    <row r="714">
      <c r="A714" s="23" t="inlineStr">
        <is>
          <t>1940 Adams St</t>
        </is>
      </c>
      <c r="B714" s="23" t="inlineStr">
        <is>
          <t>A11937206</t>
        </is>
      </c>
      <c r="C714" s="24" t="inlineStr">
        <is>
          <t>STR Income — excluded from Top 3</t>
        </is>
      </c>
    </row>
    <row r="715">
      <c r="A715" s="23" t="inlineStr">
        <is>
          <t>919 NW 13th St</t>
        </is>
      </c>
      <c r="B715" s="23" t="inlineStr">
        <is>
          <t>A11962362</t>
        </is>
      </c>
      <c r="C715" s="24" t="inlineStr">
        <is>
          <t>STR Income — excluded from Top 3</t>
        </is>
      </c>
    </row>
    <row r="716">
      <c r="A716" s="23" t="inlineStr">
        <is>
          <t>1713 SW 11th Ct</t>
        </is>
      </c>
      <c r="B716" s="23" t="inlineStr">
        <is>
          <t>A11782087</t>
        </is>
      </c>
      <c r="C716" s="24" t="inlineStr">
        <is>
          <t>STR Income — excluded from Top 3</t>
        </is>
      </c>
    </row>
    <row r="717">
      <c r="A717" s="23" t="inlineStr">
        <is>
          <t>806 NE 6th St</t>
        </is>
      </c>
      <c r="B717" s="23" t="inlineStr">
        <is>
          <t>A11949776</t>
        </is>
      </c>
      <c r="C717" s="24" t="inlineStr">
        <is>
          <t>STR Income — excluded from Top 3</t>
        </is>
      </c>
    </row>
    <row r="718">
      <c r="A718" s="23" t="inlineStr">
        <is>
          <t>740 135 St</t>
        </is>
      </c>
      <c r="B718" s="23" t="inlineStr">
        <is>
          <t>A11911776</t>
        </is>
      </c>
      <c r="C718" s="24" t="inlineStr">
        <is>
          <t>STR Income — excluded from Top 3</t>
        </is>
      </c>
    </row>
    <row r="719">
      <c r="A719" s="23" t="inlineStr">
        <is>
          <t>1321 NW 28th St</t>
        </is>
      </c>
      <c r="B719" s="23" t="inlineStr">
        <is>
          <t>A11933606</t>
        </is>
      </c>
      <c r="C719" s="24" t="inlineStr">
        <is>
          <t>STR Income — excluded from Top 3</t>
        </is>
      </c>
    </row>
    <row r="720">
      <c r="A720" s="23" t="inlineStr">
        <is>
          <t>300 SW 23rd St</t>
        </is>
      </c>
      <c r="B720" s="23" t="inlineStr">
        <is>
          <t>A11714694</t>
        </is>
      </c>
      <c r="C720" s="24" t="inlineStr">
        <is>
          <t>STR Income — excluded from Top 3</t>
        </is>
      </c>
    </row>
    <row r="721">
      <c r="A721" s="23" t="inlineStr">
        <is>
          <t>15801 NW 47th Ave</t>
        </is>
      </c>
      <c r="B721" s="23" t="inlineStr">
        <is>
          <t>A11895850</t>
        </is>
      </c>
      <c r="C721" s="24" t="inlineStr">
        <is>
          <t>STR Income — excluded from Top 3</t>
        </is>
      </c>
    </row>
    <row r="722">
      <c r="A722" s="23" t="inlineStr">
        <is>
          <t>1726 Roosevelt St</t>
        </is>
      </c>
      <c r="B722" s="23" t="inlineStr">
        <is>
          <t>A11946697</t>
        </is>
      </c>
      <c r="C722" s="24" t="inlineStr">
        <is>
          <t>STR Income — excluded from Top 3</t>
        </is>
      </c>
    </row>
    <row r="723">
      <c r="A723" s="23" t="inlineStr">
        <is>
          <t>2112-2114 Taft St</t>
        </is>
      </c>
      <c r="B723" s="23" t="inlineStr">
        <is>
          <t>A11923163</t>
        </is>
      </c>
      <c r="C723" s="24" t="inlineStr">
        <is>
          <t>STR Income — excluded from Top 3</t>
        </is>
      </c>
    </row>
    <row r="724">
      <c r="A724" s="23" t="inlineStr">
        <is>
          <t>68 NW 45th St</t>
        </is>
      </c>
      <c r="B724" s="23" t="inlineStr">
        <is>
          <t>A11104336</t>
        </is>
      </c>
      <c r="C724" s="24" t="inlineStr">
        <is>
          <t>STR Income — excluded from Top 3</t>
        </is>
      </c>
    </row>
    <row r="725">
      <c r="A725" s="23" t="inlineStr">
        <is>
          <t>1913 Harding St</t>
        </is>
      </c>
      <c r="B725" s="23" t="inlineStr">
        <is>
          <t>A11965279</t>
        </is>
      </c>
      <c r="C725" s="24" t="inlineStr">
        <is>
          <t>STR Income — excluded from Top 3</t>
        </is>
      </c>
    </row>
    <row r="726">
      <c r="A726" s="23" t="inlineStr">
        <is>
          <t>914 NW 80th St</t>
        </is>
      </c>
      <c r="B726" s="23" t="inlineStr">
        <is>
          <t>A11964450</t>
        </is>
      </c>
      <c r="C726" s="24" t="inlineStr">
        <is>
          <t>STR Income — excluded from Top 3</t>
        </is>
      </c>
    </row>
    <row r="727">
      <c r="A727" s="23" t="inlineStr">
        <is>
          <t>1218 N 24th Ave</t>
        </is>
      </c>
      <c r="B727" s="23" t="inlineStr">
        <is>
          <t>A11970021</t>
        </is>
      </c>
      <c r="C727" s="24" t="inlineStr">
        <is>
          <t>STR Income — excluded from Top 3</t>
        </is>
      </c>
    </row>
    <row r="728">
      <c r="A728" s="23" t="inlineStr">
        <is>
          <t>645 NW 1st St</t>
        </is>
      </c>
      <c r="B728" s="23" t="inlineStr">
        <is>
          <t>A11946021</t>
        </is>
      </c>
      <c r="C728" s="24" t="inlineStr">
        <is>
          <t>STR Income — excluded from Top 3</t>
        </is>
      </c>
    </row>
    <row r="729">
      <c r="A729" s="23" t="inlineStr">
        <is>
          <t>1780 NW 49th St</t>
        </is>
      </c>
      <c r="B729" s="23" t="inlineStr">
        <is>
          <t>A11958194</t>
        </is>
      </c>
      <c r="C729" s="24" t="inlineStr">
        <is>
          <t>STR Income — excluded from Top 3</t>
        </is>
      </c>
    </row>
    <row r="730">
      <c r="A730" s="23" t="inlineStr">
        <is>
          <t>7710 NE 1st Ct</t>
        </is>
      </c>
      <c r="B730" s="23" t="inlineStr">
        <is>
          <t>A11650144</t>
        </is>
      </c>
      <c r="C730" s="24" t="inlineStr">
        <is>
          <t>STR Income — excluded from Top 3</t>
        </is>
      </c>
    </row>
    <row r="731">
      <c r="A731" s="23" t="inlineStr">
        <is>
          <t>348 NE 58th St</t>
        </is>
      </c>
      <c r="B731" s="23" t="inlineStr">
        <is>
          <t>A11945348</t>
        </is>
      </c>
      <c r="C731" s="24" t="inlineStr">
        <is>
          <t>STR Income — excluded from Top 3</t>
        </is>
      </c>
    </row>
    <row r="732">
      <c r="A732" s="23" t="inlineStr">
        <is>
          <t>308 SE 4th Ave</t>
        </is>
      </c>
      <c r="B732" s="23" t="inlineStr">
        <is>
          <t>A11977316</t>
        </is>
      </c>
      <c r="C732" s="24" t="inlineStr">
        <is>
          <t>STR Income — excluded from Top 3</t>
        </is>
      </c>
    </row>
    <row r="733">
      <c r="A733" s="23" t="inlineStr">
        <is>
          <t>1514 NW 5th Ave</t>
        </is>
      </c>
      <c r="B733" s="23" t="inlineStr">
        <is>
          <t>A11910787</t>
        </is>
      </c>
      <c r="C733" s="24" t="inlineStr">
        <is>
          <t>STR Income — excluded from Top 3</t>
        </is>
      </c>
    </row>
    <row r="734">
      <c r="A734" s="23" t="inlineStr">
        <is>
          <t>413 SW 2nd Ave</t>
        </is>
      </c>
      <c r="B734" s="23" t="inlineStr">
        <is>
          <t>A11944667</t>
        </is>
      </c>
      <c r="C734" s="24" t="inlineStr">
        <is>
          <t>STR Income — excluded from Top 3</t>
        </is>
      </c>
    </row>
    <row r="735">
      <c r="A735" s="23" t="inlineStr">
        <is>
          <t>116 SE 9th Ct</t>
        </is>
      </c>
      <c r="B735" s="23" t="inlineStr">
        <is>
          <t>A11872708</t>
        </is>
      </c>
      <c r="C735" s="24" t="inlineStr">
        <is>
          <t>STR Income — excluded from Top 3</t>
        </is>
      </c>
    </row>
    <row r="736">
      <c r="A736" s="23" t="inlineStr">
        <is>
          <t>2 NE 44 ST</t>
        </is>
      </c>
      <c r="B736" s="23" t="inlineStr">
        <is>
          <t>A11900858</t>
        </is>
      </c>
      <c r="C736" s="24" t="inlineStr">
        <is>
          <t>STR Income — excluded from Top 3</t>
        </is>
      </c>
    </row>
    <row r="737">
      <c r="A737" s="23" t="inlineStr">
        <is>
          <t>1345 SW 7th St</t>
        </is>
      </c>
      <c r="B737" s="23" t="inlineStr">
        <is>
          <t>A11880979</t>
        </is>
      </c>
      <c r="C737" s="24" t="inlineStr">
        <is>
          <t>STR Income — excluded from Top 3</t>
        </is>
      </c>
    </row>
    <row r="738">
      <c r="A738" s="23" t="inlineStr">
        <is>
          <t>1700 SW 20th St</t>
        </is>
      </c>
      <c r="B738" s="23" t="inlineStr">
        <is>
          <t>A11943582</t>
        </is>
      </c>
      <c r="C738" s="24" t="inlineStr">
        <is>
          <t>STR Income — excluded from Top 3</t>
        </is>
      </c>
    </row>
    <row r="739">
      <c r="A739" s="23" t="inlineStr">
        <is>
          <t>224 NE 111th St</t>
        </is>
      </c>
      <c r="B739" s="23" t="inlineStr">
        <is>
          <t>A11877083</t>
        </is>
      </c>
      <c r="C739" s="24" t="inlineStr">
        <is>
          <t>STR Income — excluded from Top 3</t>
        </is>
      </c>
    </row>
    <row r="740">
      <c r="A740" s="23" t="inlineStr">
        <is>
          <t>440-442 48th Street Ocean</t>
        </is>
      </c>
      <c r="B740" s="23" t="inlineStr">
        <is>
          <t>A11841247</t>
        </is>
      </c>
      <c r="C740" s="24" t="inlineStr">
        <is>
          <t>STR Income — excluded from Top 3</t>
        </is>
      </c>
    </row>
    <row r="741">
      <c r="A741" s="23" t="inlineStr">
        <is>
          <t>2815 SW 36th Ave</t>
        </is>
      </c>
      <c r="B741" s="23" t="inlineStr">
        <is>
          <t>A11830502</t>
        </is>
      </c>
      <c r="C741" s="24" t="inlineStr">
        <is>
          <t>STR Income — excluded from Top 3</t>
        </is>
      </c>
    </row>
    <row r="742">
      <c r="A742" s="23" t="inlineStr">
        <is>
          <t>901 NW 34th Ave</t>
        </is>
      </c>
      <c r="B742" s="23" t="inlineStr">
        <is>
          <t>A11949624</t>
        </is>
      </c>
      <c r="C742" s="24" t="inlineStr">
        <is>
          <t>STR Income — excluded from Top 3</t>
        </is>
      </c>
    </row>
    <row r="743">
      <c r="A743" s="23" t="inlineStr">
        <is>
          <t>2525 N 23rd Ave</t>
        </is>
      </c>
      <c r="B743" s="23" t="inlineStr">
        <is>
          <t>A11963641</t>
        </is>
      </c>
      <c r="C743" s="24" t="inlineStr">
        <is>
          <t>STR Income — excluded from Top 3</t>
        </is>
      </c>
    </row>
    <row r="744">
      <c r="A744" s="23" t="inlineStr">
        <is>
          <t>461 &amp; 471 3rd St</t>
        </is>
      </c>
      <c r="B744" s="23" t="inlineStr">
        <is>
          <t>A11924718</t>
        </is>
      </c>
      <c r="C744" s="24" t="inlineStr">
        <is>
          <t>STR Income — excluded from Top 3</t>
        </is>
      </c>
    </row>
    <row r="745">
      <c r="A745" s="23" t="inlineStr">
        <is>
          <t>335 Georgia St</t>
        </is>
      </c>
      <c r="B745" s="23" t="inlineStr">
        <is>
          <t>A11887011</t>
        </is>
      </c>
      <c r="C745" s="23" t="inlineStr">
        <is>
          <t>Land/Development — not yet built</t>
        </is>
      </c>
    </row>
    <row r="746">
      <c r="A746" s="23" t="inlineStr">
        <is>
          <t>481 NE 61st St</t>
        </is>
      </c>
      <c r="B746" s="23" t="inlineStr">
        <is>
          <t>A11960586</t>
        </is>
      </c>
      <c r="C746" s="23" t="inlineStr">
        <is>
          <t>Land/Development — not yet built</t>
        </is>
      </c>
    </row>
    <row r="747">
      <c r="A747" s="23" t="inlineStr">
        <is>
          <t>1842 Madison St</t>
        </is>
      </c>
      <c r="B747" s="23" t="inlineStr">
        <is>
          <t>A11827960</t>
        </is>
      </c>
      <c r="C747" s="23" t="inlineStr">
        <is>
          <t>Land/Development — not yet built</t>
        </is>
      </c>
    </row>
    <row r="748">
      <c r="A748" s="23" t="inlineStr">
        <is>
          <t>1271 NE 32nd St</t>
        </is>
      </c>
      <c r="B748" s="23" t="inlineStr">
        <is>
          <t>A11438965</t>
        </is>
      </c>
      <c r="C748" s="23" t="inlineStr">
        <is>
          <t>Land/Development — not yet built</t>
        </is>
      </c>
    </row>
    <row r="749">
      <c r="A749" s="23" t="inlineStr">
        <is>
          <t>2841 SW 24th Ter</t>
        </is>
      </c>
      <c r="B749" s="23" t="inlineStr">
        <is>
          <t>A11966161</t>
        </is>
      </c>
      <c r="C749" s="23" t="inlineStr">
        <is>
          <t>Land/Development — not yet built</t>
        </is>
      </c>
    </row>
    <row r="750">
      <c r="A750" s="23" t="inlineStr">
        <is>
          <t>2610 NW 23rd Ave</t>
        </is>
      </c>
      <c r="B750" s="23" t="inlineStr">
        <is>
          <t>A11956823</t>
        </is>
      </c>
      <c r="C750" s="23" t="inlineStr">
        <is>
          <t>Land/Development — not yet built</t>
        </is>
      </c>
    </row>
    <row r="751">
      <c r="A751" s="23" t="inlineStr">
        <is>
          <t>811 NW 24th Ct</t>
        </is>
      </c>
      <c r="B751" s="23" t="inlineStr">
        <is>
          <t>A11968739</t>
        </is>
      </c>
      <c r="C751" s="23" t="inlineStr">
        <is>
          <t>Land/Development — not yet built</t>
        </is>
      </c>
    </row>
    <row r="752">
      <c r="A752" s="23" t="inlineStr">
        <is>
          <t>3080 SW 1st St</t>
        </is>
      </c>
      <c r="B752" s="23" t="inlineStr">
        <is>
          <t>A11934240</t>
        </is>
      </c>
      <c r="C752" s="23" t="inlineStr">
        <is>
          <t>Land/Development — not yet built</t>
        </is>
      </c>
    </row>
    <row r="753">
      <c r="A753" s="23" t="inlineStr">
        <is>
          <t>2242 Polk St</t>
        </is>
      </c>
      <c r="B753" s="23" t="inlineStr">
        <is>
          <t>A11829146</t>
        </is>
      </c>
      <c r="C753" s="23" t="inlineStr">
        <is>
          <t>Land/Development — not yet built</t>
        </is>
      </c>
    </row>
    <row r="754">
      <c r="A754" s="23" t="inlineStr">
        <is>
          <t>3621 Ponce De Leon Blvd</t>
        </is>
      </c>
      <c r="B754" s="23" t="inlineStr">
        <is>
          <t>A11807331</t>
        </is>
      </c>
      <c r="C754" s="23" t="inlineStr">
        <is>
          <t>Land/Development — not yet built</t>
        </is>
      </c>
    </row>
    <row r="755">
      <c r="A755" s="23" t="inlineStr">
        <is>
          <t>241 NW 34th Ter</t>
        </is>
      </c>
      <c r="B755" s="23" t="inlineStr">
        <is>
          <t>A11711586</t>
        </is>
      </c>
      <c r="C755" s="23" t="inlineStr">
        <is>
          <t>Land/Development — not yet built</t>
        </is>
      </c>
    </row>
    <row r="756">
      <c r="A756" s="23" t="inlineStr">
        <is>
          <t>251 NW 34th Ter</t>
        </is>
      </c>
      <c r="B756" s="23" t="inlineStr">
        <is>
          <t>A11925609</t>
        </is>
      </c>
      <c r="C756" s="23" t="inlineStr">
        <is>
          <t>Land/Development — not yet built</t>
        </is>
      </c>
    </row>
    <row r="757">
      <c r="A757" s="23" t="inlineStr">
        <is>
          <t>1866 SW 25th Ter</t>
        </is>
      </c>
      <c r="B757" s="23" t="inlineStr">
        <is>
          <t>A11962654</t>
        </is>
      </c>
      <c r="C757" s="23" t="inlineStr">
        <is>
          <t>Land/Development — not yet built</t>
        </is>
      </c>
    </row>
    <row r="758">
      <c r="A758" s="23" t="inlineStr">
        <is>
          <t>3160 NW 135th St</t>
        </is>
      </c>
      <c r="B758" s="23" t="inlineStr">
        <is>
          <t>A11960255</t>
        </is>
      </c>
      <c r="C758" s="23" t="inlineStr">
        <is>
          <t>Land/Development — not yet built</t>
        </is>
      </c>
    </row>
    <row r="759">
      <c r="A759" s="23" t="inlineStr">
        <is>
          <t>3680 SW 13th Ter</t>
        </is>
      </c>
      <c r="B759" s="23" t="inlineStr">
        <is>
          <t>A11899989</t>
        </is>
      </c>
      <c r="C759" s="23" t="inlineStr">
        <is>
          <t>Land/Development — not yet built</t>
        </is>
      </c>
    </row>
    <row r="760">
      <c r="A760" s="23" t="inlineStr">
        <is>
          <t>516 NW 18th Ave</t>
        </is>
      </c>
      <c r="B760" s="23" t="inlineStr">
        <is>
          <t>A11819437</t>
        </is>
      </c>
      <c r="C760" s="23" t="inlineStr">
        <is>
          <t>Land/Development — not yet built</t>
        </is>
      </c>
    </row>
    <row r="761">
      <c r="A761" s="23" t="inlineStr">
        <is>
          <t>6905 NW 4th Ct</t>
        </is>
      </c>
      <c r="B761" s="23" t="inlineStr">
        <is>
          <t>A11970900</t>
        </is>
      </c>
      <c r="C761" s="23" t="inlineStr">
        <is>
          <t>Land/Development — not yet built</t>
        </is>
      </c>
    </row>
    <row r="762">
      <c r="A762" s="23" t="inlineStr">
        <is>
          <t>3210 E Elizabeth St</t>
        </is>
      </c>
      <c r="B762" s="23" t="inlineStr">
        <is>
          <t>A11839361</t>
        </is>
      </c>
      <c r="C762" s="23" t="inlineStr">
        <is>
          <t>Land/Development — not yet built</t>
        </is>
      </c>
    </row>
    <row r="763">
      <c r="A763" s="23" t="inlineStr">
        <is>
          <t>1309 N 24th Ave</t>
        </is>
      </c>
      <c r="B763" s="23" t="inlineStr">
        <is>
          <t>A11902829</t>
        </is>
      </c>
      <c r="C763" s="23" t="inlineStr">
        <is>
          <t>Land/Development — not yet built</t>
        </is>
      </c>
    </row>
    <row r="764">
      <c r="A764" s="23" t="inlineStr">
        <is>
          <t>845 NE 121st St</t>
        </is>
      </c>
      <c r="B764" s="23" t="inlineStr">
        <is>
          <t>A11978086</t>
        </is>
      </c>
      <c r="C764" s="23" t="inlineStr">
        <is>
          <t>Land/Development — not yet built</t>
        </is>
      </c>
    </row>
    <row r="765">
      <c r="A765" s="23" t="inlineStr">
        <is>
          <t>634 NW 12th Ave</t>
        </is>
      </c>
      <c r="B765" s="23" t="inlineStr">
        <is>
          <t>A11969848</t>
        </is>
      </c>
      <c r="C765" s="23" t="inlineStr">
        <is>
          <t>Land/Development — not yet built</t>
        </is>
      </c>
    </row>
    <row r="766">
      <c r="A766" s="23" t="inlineStr">
        <is>
          <t>120 NW 32</t>
        </is>
      </c>
      <c r="B766" s="23" t="inlineStr">
        <is>
          <t>A11960545</t>
        </is>
      </c>
      <c r="C766" s="23" t="inlineStr">
        <is>
          <t>Land/Development — not yet built</t>
        </is>
      </c>
    </row>
    <row r="767">
      <c r="A767" s="23" t="inlineStr">
        <is>
          <t>645 NE 62nd St</t>
        </is>
      </c>
      <c r="B767" s="23" t="inlineStr">
        <is>
          <t>A11970006</t>
        </is>
      </c>
      <c r="C767" s="23" t="inlineStr">
        <is>
          <t>Land/Development — not yet built</t>
        </is>
      </c>
    </row>
    <row r="768">
      <c r="A768" s="23" t="inlineStr">
        <is>
          <t>7770 NW 1st Ave</t>
        </is>
      </c>
      <c r="B768" s="23" t="inlineStr">
        <is>
          <t>A11917319</t>
        </is>
      </c>
      <c r="C768" s="23" t="inlineStr">
        <is>
          <t>Land/Development — not yet built</t>
        </is>
      </c>
    </row>
    <row r="769">
      <c r="A769" s="23" t="inlineStr">
        <is>
          <t>683 NW 30th St</t>
        </is>
      </c>
      <c r="B769" s="23" t="inlineStr">
        <is>
          <t>A11859068</t>
        </is>
      </c>
      <c r="C769" s="23" t="inlineStr">
        <is>
          <t>Land/Development — not yet built</t>
        </is>
      </c>
    </row>
    <row r="770">
      <c r="A770" s="23" t="inlineStr">
        <is>
          <t>3921 N Meridian Ave</t>
        </is>
      </c>
      <c r="B770" s="23" t="inlineStr">
        <is>
          <t>A11681822</t>
        </is>
      </c>
      <c r="C770" s="23" t="inlineStr">
        <is>
          <t>Income anomaly — $500k/mo rent on 4-unit, Issue 6</t>
        </is>
      </c>
    </row>
    <row r="771">
      <c r="A771" s="23" t="inlineStr">
        <is>
          <t>2100 NW 4th St</t>
        </is>
      </c>
      <c r="B771" s="23" t="inlineStr">
        <is>
          <t>A11967035</t>
        </is>
      </c>
      <c r="C771" s="23" t="inlineStr">
        <is>
          <t>Income anomaly — wrong income data, Issue 6</t>
        </is>
      </c>
    </row>
    <row r="772">
      <c r="A772" s="23" t="inlineStr">
        <is>
          <t>166 NW 41st St</t>
        </is>
      </c>
      <c r="B772" s="23" t="inlineStr">
        <is>
          <t>A11938496</t>
        </is>
      </c>
      <c r="C772" s="23" t="inlineStr">
        <is>
          <t>Income anomaly — wrong income data, Issue 6</t>
        </is>
      </c>
    </row>
    <row r="773">
      <c r="A773" s="23" t="inlineStr">
        <is>
          <t>16020 SW 208th Ave</t>
        </is>
      </c>
      <c r="B773" s="23" t="inlineStr">
        <is>
          <t>A11930288</t>
        </is>
      </c>
      <c r="C773" s="23" t="inlineStr">
        <is>
          <t>Income anomaly — wrong income data, Issue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2026-03-09T01:26:25Z</dcterms:created>
  <dcterms:modified xmlns:dcterms="http://purl.org/dc/terms/" xmlns:xsi="http://www.w3.org/2001/XMLSchema-instance" xsi:type="dcterms:W3CDTF">2026-03-09T01:26:26Z</dcterms:modified>
</cp:coreProperties>
</file>